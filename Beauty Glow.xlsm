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RV\Downloads\"/>
    </mc:Choice>
  </mc:AlternateContent>
  <xr:revisionPtr revIDLastSave="0" documentId="8_{A7472B48-28E9-4EF6-A758-8E6708C1D25C}" xr6:coauthVersionLast="47" xr6:coauthVersionMax="47" xr10:uidLastSave="{00000000-0000-0000-0000-000000000000}"/>
  <bookViews>
    <workbookView xWindow="-110" yWindow="-110" windowWidth="19420" windowHeight="11020" activeTab="2" xr2:uid="{11E86F3C-2F3D-4E04-8186-A11F2F6E6352}"/>
  </bookViews>
  <sheets>
    <sheet name="Dataset" sheetId="1" r:id="rId1"/>
    <sheet name="Analyze" sheetId="2" r:id="rId2"/>
    <sheet name="Dashboard" sheetId="5" r:id="rId3"/>
  </sheets>
  <definedNames>
    <definedName name="_xlnm._FilterDatabase" localSheetId="0" hidden="1">Dataset!$A$1:$G$961</definedName>
    <definedName name="Slicer_Audience_Country">#N/A</definedName>
    <definedName name="Slicer_Category">#N/A</definedName>
  </definedNames>
  <calcPr calcId="191029"/>
  <pivotCaches>
    <pivotCache cacheId="0" r:id="rId4"/>
    <pivotCache cacheId="1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2" i="5" l="1"/>
  <c r="X14" i="5"/>
  <c r="X16" i="5"/>
  <c r="X18" i="5"/>
  <c r="X20" i="5"/>
  <c r="X22" i="5"/>
  <c r="X24" i="5"/>
  <c r="X26" i="5"/>
  <c r="X28" i="5"/>
  <c r="X30" i="5"/>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2" i="1"/>
  <c r="J761" i="1"/>
  <c r="J760" i="1"/>
  <c r="J759" i="1"/>
  <c r="J758" i="1"/>
  <c r="J757" i="1"/>
  <c r="J756" i="1"/>
  <c r="J755" i="1"/>
  <c r="J754" i="1"/>
  <c r="J752" i="1"/>
  <c r="J751" i="1"/>
  <c r="J750" i="1"/>
  <c r="J749" i="1"/>
  <c r="J748" i="1"/>
  <c r="J747" i="1"/>
  <c r="J746" i="1"/>
  <c r="J745" i="1"/>
  <c r="J744" i="1"/>
  <c r="J743" i="1"/>
  <c r="J742" i="1"/>
  <c r="J741" i="1"/>
  <c r="J740" i="1"/>
  <c r="J739" i="1"/>
  <c r="J738"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0" i="1"/>
  <c r="J689" i="1"/>
  <c r="J688" i="1"/>
  <c r="J687" i="1"/>
  <c r="J686" i="1"/>
  <c r="J685" i="1"/>
  <c r="J684" i="1"/>
  <c r="J683" i="1"/>
  <c r="J682" i="1"/>
  <c r="J681" i="1"/>
  <c r="J680" i="1"/>
  <c r="J679" i="1"/>
  <c r="J678" i="1"/>
  <c r="J677" i="1"/>
  <c r="J676" i="1"/>
  <c r="J674" i="1"/>
  <c r="J673" i="1"/>
  <c r="J672" i="1"/>
  <c r="J671" i="1"/>
  <c r="J670" i="1"/>
  <c r="J669" i="1"/>
  <c r="J668" i="1"/>
  <c r="J667" i="1"/>
  <c r="J666" i="1"/>
  <c r="J665" i="1"/>
  <c r="J664" i="1"/>
  <c r="J663" i="1"/>
  <c r="J662" i="1"/>
  <c r="J661" i="1"/>
  <c r="J660" i="1"/>
  <c r="J659" i="1"/>
  <c r="J658" i="1"/>
  <c r="J657" i="1"/>
  <c r="J656"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6" i="1"/>
  <c r="J315" i="1"/>
  <c r="J314" i="1"/>
  <c r="J313" i="1"/>
  <c r="J312" i="1"/>
  <c r="J311" i="1"/>
  <c r="J310" i="1"/>
  <c r="J309" i="1"/>
  <c r="J308" i="1"/>
  <c r="J307" i="1"/>
  <c r="J306" i="1"/>
  <c r="J305" i="1"/>
  <c r="J304" i="1"/>
  <c r="J303" i="1"/>
  <c r="J302" i="1"/>
  <c r="J301" i="1"/>
  <c r="J300" i="1"/>
  <c r="J299" i="1"/>
  <c r="J298" i="1"/>
  <c r="J297" i="1"/>
  <c r="J296" i="1"/>
  <c r="J295" i="1"/>
  <c r="J293" i="1"/>
  <c r="J292" i="1"/>
  <c r="J291" i="1"/>
  <c r="J290" i="1"/>
  <c r="J289" i="1"/>
  <c r="J288" i="1"/>
  <c r="J287" i="1"/>
  <c r="J286" i="1"/>
  <c r="J285" i="1"/>
  <c r="J284" i="1"/>
  <c r="J283" i="1"/>
  <c r="J282" i="1"/>
  <c r="J281" i="1"/>
  <c r="J280" i="1"/>
  <c r="J279" i="1"/>
  <c r="J277" i="1"/>
  <c r="J276" i="1"/>
  <c r="J275" i="1"/>
  <c r="J274" i="1"/>
  <c r="J272" i="1"/>
  <c r="J270" i="1"/>
  <c r="J268" i="1"/>
  <c r="J267" i="1"/>
  <c r="J266" i="1"/>
  <c r="J265" i="1"/>
  <c r="J264" i="1"/>
  <c r="J263" i="1"/>
  <c r="J262" i="1"/>
  <c r="J261" i="1"/>
  <c r="J260" i="1"/>
  <c r="J259" i="1"/>
  <c r="J258" i="1"/>
  <c r="J257" i="1"/>
  <c r="J256" i="1"/>
  <c r="J255" i="1"/>
  <c r="J254" i="1"/>
  <c r="J253" i="1"/>
  <c r="J252" i="1"/>
  <c r="J251" i="1"/>
  <c r="J250" i="1"/>
  <c r="J249" i="1"/>
  <c r="J248" i="1"/>
  <c r="J247" i="1"/>
  <c r="J245" i="1"/>
  <c r="J244"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I961" i="1"/>
  <c r="I960" i="1"/>
  <c r="I959" i="1"/>
  <c r="I958" i="1"/>
  <c r="I957" i="1"/>
  <c r="I956" i="1"/>
  <c r="I955" i="1"/>
  <c r="K955" i="1" s="1"/>
  <c r="I954" i="1"/>
  <c r="K954" i="1" s="1"/>
  <c r="I953" i="1"/>
  <c r="I952" i="1"/>
  <c r="I951" i="1"/>
  <c r="I950" i="1"/>
  <c r="I949" i="1"/>
  <c r="I948" i="1"/>
  <c r="I947" i="1"/>
  <c r="K947" i="1" s="1"/>
  <c r="I946" i="1"/>
  <c r="K946" i="1" s="1"/>
  <c r="I945" i="1"/>
  <c r="I944" i="1"/>
  <c r="I943" i="1"/>
  <c r="I942" i="1"/>
  <c r="I941" i="1"/>
  <c r="I940" i="1"/>
  <c r="I939" i="1"/>
  <c r="K939" i="1" s="1"/>
  <c r="I938" i="1"/>
  <c r="K938" i="1" s="1"/>
  <c r="I937" i="1"/>
  <c r="I936" i="1"/>
  <c r="I935" i="1"/>
  <c r="I934" i="1"/>
  <c r="I933" i="1"/>
  <c r="I932" i="1"/>
  <c r="I931" i="1"/>
  <c r="K931" i="1" s="1"/>
  <c r="I930" i="1"/>
  <c r="K930" i="1" s="1"/>
  <c r="I929" i="1"/>
  <c r="I928" i="1"/>
  <c r="I927" i="1"/>
  <c r="I926" i="1"/>
  <c r="I925" i="1"/>
  <c r="I924" i="1"/>
  <c r="I923" i="1"/>
  <c r="K923" i="1" s="1"/>
  <c r="I922" i="1"/>
  <c r="K922" i="1" s="1"/>
  <c r="I921" i="1"/>
  <c r="I920" i="1"/>
  <c r="I919" i="1"/>
  <c r="I918" i="1"/>
  <c r="I917" i="1"/>
  <c r="I916" i="1"/>
  <c r="I915" i="1"/>
  <c r="K915" i="1" s="1"/>
  <c r="I914" i="1"/>
  <c r="K914" i="1" s="1"/>
  <c r="I913" i="1"/>
  <c r="I912" i="1"/>
  <c r="I911" i="1"/>
  <c r="I910" i="1"/>
  <c r="I909" i="1"/>
  <c r="I908" i="1"/>
  <c r="I907" i="1"/>
  <c r="K907" i="1" s="1"/>
  <c r="I906" i="1"/>
  <c r="K906" i="1" s="1"/>
  <c r="I905" i="1"/>
  <c r="I904" i="1"/>
  <c r="I903" i="1"/>
  <c r="I902" i="1"/>
  <c r="I901" i="1"/>
  <c r="I900" i="1"/>
  <c r="I899" i="1"/>
  <c r="K899" i="1" s="1"/>
  <c r="I898" i="1"/>
  <c r="K898" i="1" s="1"/>
  <c r="I897" i="1"/>
  <c r="I896" i="1"/>
  <c r="I895" i="1"/>
  <c r="I894" i="1"/>
  <c r="I893" i="1"/>
  <c r="I892" i="1"/>
  <c r="I891" i="1"/>
  <c r="K891" i="1" s="1"/>
  <c r="I890" i="1"/>
  <c r="K890" i="1" s="1"/>
  <c r="I889" i="1"/>
  <c r="I888" i="1"/>
  <c r="I887" i="1"/>
  <c r="I886" i="1"/>
  <c r="I885" i="1"/>
  <c r="I884" i="1"/>
  <c r="I883" i="1"/>
  <c r="K883" i="1" s="1"/>
  <c r="I882" i="1"/>
  <c r="K882" i="1" s="1"/>
  <c r="I881" i="1"/>
  <c r="I880" i="1"/>
  <c r="I879" i="1"/>
  <c r="I878" i="1"/>
  <c r="I877" i="1"/>
  <c r="I876" i="1"/>
  <c r="I875" i="1"/>
  <c r="K875" i="1" s="1"/>
  <c r="I874" i="1"/>
  <c r="K874" i="1" s="1"/>
  <c r="I873" i="1"/>
  <c r="I872" i="1"/>
  <c r="I871" i="1"/>
  <c r="I870" i="1"/>
  <c r="I869" i="1"/>
  <c r="I868" i="1"/>
  <c r="I867" i="1"/>
  <c r="K867" i="1" s="1"/>
  <c r="I866" i="1"/>
  <c r="K866" i="1" s="1"/>
  <c r="I865" i="1"/>
  <c r="I864" i="1"/>
  <c r="I863" i="1"/>
  <c r="I862" i="1"/>
  <c r="I861" i="1"/>
  <c r="I860" i="1"/>
  <c r="I859" i="1"/>
  <c r="K859" i="1" s="1"/>
  <c r="I858" i="1"/>
  <c r="K858" i="1" s="1"/>
  <c r="I857" i="1"/>
  <c r="I856" i="1"/>
  <c r="I855" i="1"/>
  <c r="I854" i="1"/>
  <c r="I853" i="1"/>
  <c r="I852" i="1"/>
  <c r="I851" i="1"/>
  <c r="K851" i="1" s="1"/>
  <c r="I850" i="1"/>
  <c r="K850" i="1" s="1"/>
  <c r="I849" i="1"/>
  <c r="I848" i="1"/>
  <c r="I847" i="1"/>
  <c r="I846" i="1"/>
  <c r="I845" i="1"/>
  <c r="I844" i="1"/>
  <c r="I843" i="1"/>
  <c r="K843" i="1" s="1"/>
  <c r="I842" i="1"/>
  <c r="K842" i="1" s="1"/>
  <c r="I841" i="1"/>
  <c r="I840" i="1"/>
  <c r="I839" i="1"/>
  <c r="I838" i="1"/>
  <c r="I837" i="1"/>
  <c r="I836" i="1"/>
  <c r="I835" i="1"/>
  <c r="K835" i="1" s="1"/>
  <c r="I834" i="1"/>
  <c r="K834" i="1" s="1"/>
  <c r="I833" i="1"/>
  <c r="I832" i="1"/>
  <c r="I831" i="1"/>
  <c r="I830" i="1"/>
  <c r="I829" i="1"/>
  <c r="I828" i="1"/>
  <c r="I827" i="1"/>
  <c r="K827" i="1" s="1"/>
  <c r="I826" i="1"/>
  <c r="K826" i="1" s="1"/>
  <c r="I825" i="1"/>
  <c r="I824" i="1"/>
  <c r="I823" i="1"/>
  <c r="I822" i="1"/>
  <c r="I821" i="1"/>
  <c r="I820" i="1"/>
  <c r="I818" i="1"/>
  <c r="K818" i="1" s="1"/>
  <c r="I817" i="1"/>
  <c r="K817" i="1" s="1"/>
  <c r="I816" i="1"/>
  <c r="I815" i="1"/>
  <c r="I814" i="1"/>
  <c r="I813" i="1"/>
  <c r="I812" i="1"/>
  <c r="I811" i="1"/>
  <c r="I810" i="1"/>
  <c r="K810" i="1" s="1"/>
  <c r="I809" i="1"/>
  <c r="K809" i="1" s="1"/>
  <c r="I808" i="1"/>
  <c r="I807" i="1"/>
  <c r="I806" i="1"/>
  <c r="I805" i="1"/>
  <c r="I804" i="1"/>
  <c r="I803" i="1"/>
  <c r="I802" i="1"/>
  <c r="K802" i="1" s="1"/>
  <c r="I801" i="1"/>
  <c r="K801" i="1" s="1"/>
  <c r="I800" i="1"/>
  <c r="I799" i="1"/>
  <c r="I798" i="1"/>
  <c r="I797" i="1"/>
  <c r="I796" i="1"/>
  <c r="I795" i="1"/>
  <c r="I794" i="1"/>
  <c r="K794" i="1" s="1"/>
  <c r="I793" i="1"/>
  <c r="K793" i="1" s="1"/>
  <c r="I792" i="1"/>
  <c r="I791" i="1"/>
  <c r="I790" i="1"/>
  <c r="I789" i="1"/>
  <c r="I788" i="1"/>
  <c r="I787" i="1"/>
  <c r="I786" i="1"/>
  <c r="K786" i="1" s="1"/>
  <c r="I785" i="1"/>
  <c r="K785" i="1" s="1"/>
  <c r="I784" i="1"/>
  <c r="I783" i="1"/>
  <c r="I782" i="1"/>
  <c r="I781" i="1"/>
  <c r="I780" i="1"/>
  <c r="I779" i="1"/>
  <c r="I778" i="1"/>
  <c r="K778" i="1" s="1"/>
  <c r="I777" i="1"/>
  <c r="K777" i="1" s="1"/>
  <c r="I776" i="1"/>
  <c r="I775" i="1"/>
  <c r="I774" i="1"/>
  <c r="I773" i="1"/>
  <c r="I772" i="1"/>
  <c r="I771" i="1"/>
  <c r="I770" i="1"/>
  <c r="K770" i="1" s="1"/>
  <c r="I769" i="1"/>
  <c r="K769" i="1" s="1"/>
  <c r="I768" i="1"/>
  <c r="I767" i="1"/>
  <c r="I766" i="1"/>
  <c r="I765" i="1"/>
  <c r="I764" i="1"/>
  <c r="I762" i="1"/>
  <c r="I761" i="1"/>
  <c r="K761" i="1" s="1"/>
  <c r="I760" i="1"/>
  <c r="K760" i="1" s="1"/>
  <c r="I759" i="1"/>
  <c r="I758" i="1"/>
  <c r="I757" i="1"/>
  <c r="I756" i="1"/>
  <c r="I755" i="1"/>
  <c r="I754" i="1"/>
  <c r="I752" i="1"/>
  <c r="K752" i="1" s="1"/>
  <c r="I751" i="1"/>
  <c r="K751" i="1" s="1"/>
  <c r="I750" i="1"/>
  <c r="I749" i="1"/>
  <c r="I748" i="1"/>
  <c r="I747" i="1"/>
  <c r="I746" i="1"/>
  <c r="I745" i="1"/>
  <c r="I744" i="1"/>
  <c r="K744" i="1" s="1"/>
  <c r="I743" i="1"/>
  <c r="K743" i="1" s="1"/>
  <c r="I742" i="1"/>
  <c r="I741" i="1"/>
  <c r="I740" i="1"/>
  <c r="I739" i="1"/>
  <c r="I738" i="1"/>
  <c r="I736" i="1"/>
  <c r="I735" i="1"/>
  <c r="K735" i="1" s="1"/>
  <c r="I734" i="1"/>
  <c r="K734" i="1" s="1"/>
  <c r="I733" i="1"/>
  <c r="I732" i="1"/>
  <c r="I731" i="1"/>
  <c r="I730" i="1"/>
  <c r="I729" i="1"/>
  <c r="I728" i="1"/>
  <c r="I727" i="1"/>
  <c r="K727" i="1" s="1"/>
  <c r="I726" i="1"/>
  <c r="K726" i="1" s="1"/>
  <c r="I725" i="1"/>
  <c r="I724" i="1"/>
  <c r="I723" i="1"/>
  <c r="I722" i="1"/>
  <c r="I721" i="1"/>
  <c r="I720" i="1"/>
  <c r="I719" i="1"/>
  <c r="K719" i="1" s="1"/>
  <c r="I718" i="1"/>
  <c r="K718" i="1" s="1"/>
  <c r="I717" i="1"/>
  <c r="I716" i="1"/>
  <c r="I715" i="1"/>
  <c r="I714" i="1"/>
  <c r="I713" i="1"/>
  <c r="I712" i="1"/>
  <c r="I711" i="1"/>
  <c r="K711" i="1" s="1"/>
  <c r="I710" i="1"/>
  <c r="K710" i="1" s="1"/>
  <c r="I709" i="1"/>
  <c r="I708" i="1"/>
  <c r="I707" i="1"/>
  <c r="I706" i="1"/>
  <c r="I705" i="1"/>
  <c r="I704" i="1"/>
  <c r="I703" i="1"/>
  <c r="K703" i="1" s="1"/>
  <c r="I702" i="1"/>
  <c r="K702" i="1" s="1"/>
  <c r="I701" i="1"/>
  <c r="I700" i="1"/>
  <c r="I699" i="1"/>
  <c r="I698" i="1"/>
  <c r="I697" i="1"/>
  <c r="I696" i="1"/>
  <c r="I695" i="1"/>
  <c r="K695" i="1" s="1"/>
  <c r="I694" i="1"/>
  <c r="K694" i="1" s="1"/>
  <c r="I693" i="1"/>
  <c r="I692" i="1"/>
  <c r="I690" i="1"/>
  <c r="I689" i="1"/>
  <c r="I688" i="1"/>
  <c r="I687" i="1"/>
  <c r="I686" i="1"/>
  <c r="K686" i="1" s="1"/>
  <c r="I685" i="1"/>
  <c r="K685" i="1" s="1"/>
  <c r="I684" i="1"/>
  <c r="I683" i="1"/>
  <c r="I682" i="1"/>
  <c r="I681" i="1"/>
  <c r="I680" i="1"/>
  <c r="I679" i="1"/>
  <c r="I678" i="1"/>
  <c r="K678" i="1" s="1"/>
  <c r="I677" i="1"/>
  <c r="K677" i="1" s="1"/>
  <c r="I676" i="1"/>
  <c r="I674" i="1"/>
  <c r="I673" i="1"/>
  <c r="I672" i="1"/>
  <c r="I671" i="1"/>
  <c r="I670" i="1"/>
  <c r="I669" i="1"/>
  <c r="K669" i="1" s="1"/>
  <c r="I668" i="1"/>
  <c r="K668" i="1" s="1"/>
  <c r="I667" i="1"/>
  <c r="I666" i="1"/>
  <c r="I665" i="1"/>
  <c r="I664" i="1"/>
  <c r="I663" i="1"/>
  <c r="I662" i="1"/>
  <c r="I661" i="1"/>
  <c r="K661" i="1" s="1"/>
  <c r="I660" i="1"/>
  <c r="K660" i="1" s="1"/>
  <c r="I659" i="1"/>
  <c r="I658" i="1"/>
  <c r="I657" i="1"/>
  <c r="I656" i="1"/>
  <c r="I654" i="1"/>
  <c r="I653" i="1"/>
  <c r="I652" i="1"/>
  <c r="K652" i="1" s="1"/>
  <c r="I651" i="1"/>
  <c r="K651" i="1" s="1"/>
  <c r="I650" i="1"/>
  <c r="I649" i="1"/>
  <c r="I648" i="1"/>
  <c r="I647" i="1"/>
  <c r="I646" i="1"/>
  <c r="I645" i="1"/>
  <c r="I644" i="1"/>
  <c r="K644" i="1" s="1"/>
  <c r="I643" i="1"/>
  <c r="K643" i="1" s="1"/>
  <c r="I642" i="1"/>
  <c r="I641" i="1"/>
  <c r="I640" i="1"/>
  <c r="I639" i="1"/>
  <c r="I638" i="1"/>
  <c r="I637" i="1"/>
  <c r="I636" i="1"/>
  <c r="K636" i="1" s="1"/>
  <c r="I635" i="1"/>
  <c r="K635" i="1" s="1"/>
  <c r="I634" i="1"/>
  <c r="I633" i="1"/>
  <c r="I632" i="1"/>
  <c r="I631" i="1"/>
  <c r="I630" i="1"/>
  <c r="I629" i="1"/>
  <c r="I628" i="1"/>
  <c r="K628" i="1" s="1"/>
  <c r="I627" i="1"/>
  <c r="K627" i="1" s="1"/>
  <c r="I626" i="1"/>
  <c r="I625" i="1"/>
  <c r="I624" i="1"/>
  <c r="I623" i="1"/>
  <c r="I622" i="1"/>
  <c r="I621" i="1"/>
  <c r="I620" i="1"/>
  <c r="K620" i="1" s="1"/>
  <c r="I619" i="1"/>
  <c r="K619" i="1" s="1"/>
  <c r="I618" i="1"/>
  <c r="I617" i="1"/>
  <c r="I616" i="1"/>
  <c r="I615" i="1"/>
  <c r="I614" i="1"/>
  <c r="I613" i="1"/>
  <c r="I612" i="1"/>
  <c r="K612" i="1" s="1"/>
  <c r="I611" i="1"/>
  <c r="K611" i="1" s="1"/>
  <c r="I610" i="1"/>
  <c r="I609" i="1"/>
  <c r="I608" i="1"/>
  <c r="I607" i="1"/>
  <c r="I606" i="1"/>
  <c r="I605" i="1"/>
  <c r="I604" i="1"/>
  <c r="K604" i="1" s="1"/>
  <c r="I603" i="1"/>
  <c r="K603" i="1" s="1"/>
  <c r="I602" i="1"/>
  <c r="I601" i="1"/>
  <c r="I600" i="1"/>
  <c r="I599" i="1"/>
  <c r="I598" i="1"/>
  <c r="I597" i="1"/>
  <c r="I596" i="1"/>
  <c r="K596" i="1" s="1"/>
  <c r="I595" i="1"/>
  <c r="K595" i="1" s="1"/>
  <c r="I594" i="1"/>
  <c r="I593" i="1"/>
  <c r="I592" i="1"/>
  <c r="I591" i="1"/>
  <c r="I590" i="1"/>
  <c r="I589" i="1"/>
  <c r="I588" i="1"/>
  <c r="K588" i="1" s="1"/>
  <c r="I587" i="1"/>
  <c r="K587" i="1" s="1"/>
  <c r="I586" i="1"/>
  <c r="I585" i="1"/>
  <c r="I583" i="1"/>
  <c r="I582" i="1"/>
  <c r="I581" i="1"/>
  <c r="I580" i="1"/>
  <c r="I579" i="1"/>
  <c r="K579" i="1" s="1"/>
  <c r="I578" i="1"/>
  <c r="K578" i="1" s="1"/>
  <c r="I577" i="1"/>
  <c r="I576" i="1"/>
  <c r="I575" i="1"/>
  <c r="I574" i="1"/>
  <c r="I573" i="1"/>
  <c r="I572" i="1"/>
  <c r="I571" i="1"/>
  <c r="K571" i="1" s="1"/>
  <c r="I570" i="1"/>
  <c r="K570" i="1" s="1"/>
  <c r="I569" i="1"/>
  <c r="I568" i="1"/>
  <c r="I567" i="1"/>
  <c r="I566" i="1"/>
  <c r="I565" i="1"/>
  <c r="I564" i="1"/>
  <c r="I563" i="1"/>
  <c r="K563" i="1" s="1"/>
  <c r="I562" i="1"/>
  <c r="K562" i="1" s="1"/>
  <c r="I561" i="1"/>
  <c r="I560" i="1"/>
  <c r="I559" i="1"/>
  <c r="I558" i="1"/>
  <c r="I557" i="1"/>
  <c r="I556" i="1"/>
  <c r="I555" i="1"/>
  <c r="K555" i="1" s="1"/>
  <c r="I554" i="1"/>
  <c r="K554" i="1" s="1"/>
  <c r="I553" i="1"/>
  <c r="I552" i="1"/>
  <c r="I551" i="1"/>
  <c r="I550" i="1"/>
  <c r="I549" i="1"/>
  <c r="I548" i="1"/>
  <c r="I547" i="1"/>
  <c r="K547" i="1" s="1"/>
  <c r="I546" i="1"/>
  <c r="K546" i="1" s="1"/>
  <c r="I545" i="1"/>
  <c r="I544" i="1"/>
  <c r="I543" i="1"/>
  <c r="I542" i="1"/>
  <c r="I541" i="1"/>
  <c r="I540" i="1"/>
  <c r="I539" i="1"/>
  <c r="K539" i="1" s="1"/>
  <c r="I538" i="1"/>
  <c r="K538" i="1" s="1"/>
  <c r="I537" i="1"/>
  <c r="I536" i="1"/>
  <c r="I535" i="1"/>
  <c r="I533" i="1"/>
  <c r="I532" i="1"/>
  <c r="I531" i="1"/>
  <c r="I530" i="1"/>
  <c r="K530" i="1" s="1"/>
  <c r="I529" i="1"/>
  <c r="K529" i="1" s="1"/>
  <c r="I528" i="1"/>
  <c r="I527" i="1"/>
  <c r="I526" i="1"/>
  <c r="I525" i="1"/>
  <c r="I524" i="1"/>
  <c r="I523" i="1"/>
  <c r="I522" i="1"/>
  <c r="K522" i="1" s="1"/>
  <c r="I521" i="1"/>
  <c r="K521" i="1" s="1"/>
  <c r="I520" i="1"/>
  <c r="I519" i="1"/>
  <c r="I518" i="1"/>
  <c r="I517" i="1"/>
  <c r="I516" i="1"/>
  <c r="I515" i="1"/>
  <c r="I514" i="1"/>
  <c r="K514" i="1" s="1"/>
  <c r="I513" i="1"/>
  <c r="K513" i="1" s="1"/>
  <c r="I512" i="1"/>
  <c r="I511" i="1"/>
  <c r="I510" i="1"/>
  <c r="I509" i="1"/>
  <c r="I508" i="1"/>
  <c r="I507" i="1"/>
  <c r="I506" i="1"/>
  <c r="K506" i="1" s="1"/>
  <c r="I505" i="1"/>
  <c r="K505" i="1" s="1"/>
  <c r="I504" i="1"/>
  <c r="I503" i="1"/>
  <c r="I502" i="1"/>
  <c r="I501" i="1"/>
  <c r="I500" i="1"/>
  <c r="I499" i="1"/>
  <c r="I498" i="1"/>
  <c r="K498" i="1" s="1"/>
  <c r="I497" i="1"/>
  <c r="K497" i="1" s="1"/>
  <c r="I496" i="1"/>
  <c r="I495" i="1"/>
  <c r="I494" i="1"/>
  <c r="I493" i="1"/>
  <c r="I492" i="1"/>
  <c r="I491" i="1"/>
  <c r="I490" i="1"/>
  <c r="K490" i="1" s="1"/>
  <c r="I489" i="1"/>
  <c r="K489" i="1" s="1"/>
  <c r="I488" i="1"/>
  <c r="I487" i="1"/>
  <c r="I486" i="1"/>
  <c r="I485" i="1"/>
  <c r="I484" i="1"/>
  <c r="I483" i="1"/>
  <c r="I482" i="1"/>
  <c r="K482" i="1" s="1"/>
  <c r="I481" i="1"/>
  <c r="K481" i="1" s="1"/>
  <c r="I480" i="1"/>
  <c r="I479" i="1"/>
  <c r="I478" i="1"/>
  <c r="I477" i="1"/>
  <c r="I476" i="1"/>
  <c r="I475" i="1"/>
  <c r="I474" i="1"/>
  <c r="K474" i="1" s="1"/>
  <c r="I473" i="1"/>
  <c r="K473" i="1" s="1"/>
  <c r="I472" i="1"/>
  <c r="I471" i="1"/>
  <c r="I470" i="1"/>
  <c r="I469" i="1"/>
  <c r="I468" i="1"/>
  <c r="I467" i="1"/>
  <c r="I466" i="1"/>
  <c r="K466" i="1" s="1"/>
  <c r="I465" i="1"/>
  <c r="K465" i="1" s="1"/>
  <c r="I464" i="1"/>
  <c r="I463" i="1"/>
  <c r="I462" i="1"/>
  <c r="I461" i="1"/>
  <c r="I460" i="1"/>
  <c r="I459" i="1"/>
  <c r="I458" i="1"/>
  <c r="K458" i="1" s="1"/>
  <c r="I457" i="1"/>
  <c r="K457" i="1" s="1"/>
  <c r="I456" i="1"/>
  <c r="I455" i="1"/>
  <c r="I454" i="1"/>
  <c r="I453" i="1"/>
  <c r="I452" i="1"/>
  <c r="I451" i="1"/>
  <c r="I450" i="1"/>
  <c r="K450" i="1" s="1"/>
  <c r="I449" i="1"/>
  <c r="K449" i="1" s="1"/>
  <c r="I448" i="1"/>
  <c r="I447" i="1"/>
  <c r="I446" i="1"/>
  <c r="I445" i="1"/>
  <c r="I444" i="1"/>
  <c r="I443" i="1"/>
  <c r="I442" i="1"/>
  <c r="K442" i="1" s="1"/>
  <c r="I441" i="1"/>
  <c r="K441" i="1" s="1"/>
  <c r="I440" i="1"/>
  <c r="I439" i="1"/>
  <c r="I438" i="1"/>
  <c r="I437" i="1"/>
  <c r="I436" i="1"/>
  <c r="I435" i="1"/>
  <c r="I434" i="1"/>
  <c r="K434" i="1" s="1"/>
  <c r="I433" i="1"/>
  <c r="K433" i="1" s="1"/>
  <c r="I432" i="1"/>
  <c r="I431" i="1"/>
  <c r="I430" i="1"/>
  <c r="I429" i="1"/>
  <c r="I428" i="1"/>
  <c r="I427" i="1"/>
  <c r="I426" i="1"/>
  <c r="K426" i="1" s="1"/>
  <c r="I425" i="1"/>
  <c r="K425" i="1" s="1"/>
  <c r="I424" i="1"/>
  <c r="I423" i="1"/>
  <c r="I422" i="1"/>
  <c r="I421" i="1"/>
  <c r="I420" i="1"/>
  <c r="I419" i="1"/>
  <c r="I418" i="1"/>
  <c r="K418" i="1" s="1"/>
  <c r="I417" i="1"/>
  <c r="K417" i="1" s="1"/>
  <c r="I416" i="1"/>
  <c r="I415" i="1"/>
  <c r="I414" i="1"/>
  <c r="I413" i="1"/>
  <c r="I412" i="1"/>
  <c r="I411" i="1"/>
  <c r="I410" i="1"/>
  <c r="K410" i="1" s="1"/>
  <c r="I409" i="1"/>
  <c r="K409" i="1" s="1"/>
  <c r="I408" i="1"/>
  <c r="I407" i="1"/>
  <c r="I406" i="1"/>
  <c r="I405" i="1"/>
  <c r="I404" i="1"/>
  <c r="I403" i="1"/>
  <c r="I402" i="1"/>
  <c r="K402" i="1" s="1"/>
  <c r="I401" i="1"/>
  <c r="K401" i="1" s="1"/>
  <c r="I400" i="1"/>
  <c r="I399" i="1"/>
  <c r="I398" i="1"/>
  <c r="I397" i="1"/>
  <c r="I396" i="1"/>
  <c r="I395" i="1"/>
  <c r="I394" i="1"/>
  <c r="K394" i="1" s="1"/>
  <c r="I393" i="1"/>
  <c r="K393" i="1" s="1"/>
  <c r="I392" i="1"/>
  <c r="I391" i="1"/>
  <c r="I390" i="1"/>
  <c r="I389" i="1"/>
  <c r="I388" i="1"/>
  <c r="I387" i="1"/>
  <c r="I386" i="1"/>
  <c r="K386" i="1" s="1"/>
  <c r="I385" i="1"/>
  <c r="K385" i="1" s="1"/>
  <c r="I384" i="1"/>
  <c r="I383" i="1"/>
  <c r="I382" i="1"/>
  <c r="I381" i="1"/>
  <c r="I380" i="1"/>
  <c r="I379" i="1"/>
  <c r="I378" i="1"/>
  <c r="K378" i="1" s="1"/>
  <c r="I377" i="1"/>
  <c r="K377" i="1" s="1"/>
  <c r="I376" i="1"/>
  <c r="I375" i="1"/>
  <c r="I374" i="1"/>
  <c r="I373" i="1"/>
  <c r="I372" i="1"/>
  <c r="I371" i="1"/>
  <c r="I370" i="1"/>
  <c r="K370" i="1" s="1"/>
  <c r="I369" i="1"/>
  <c r="K369" i="1" s="1"/>
  <c r="I368" i="1"/>
  <c r="I367" i="1"/>
  <c r="I366" i="1"/>
  <c r="I365" i="1"/>
  <c r="I364" i="1"/>
  <c r="I363" i="1"/>
  <c r="I362" i="1"/>
  <c r="K362" i="1" s="1"/>
  <c r="I361" i="1"/>
  <c r="K361" i="1" s="1"/>
  <c r="I360" i="1"/>
  <c r="I359" i="1"/>
  <c r="I358" i="1"/>
  <c r="I357" i="1"/>
  <c r="I356" i="1"/>
  <c r="I355" i="1"/>
  <c r="I354" i="1"/>
  <c r="K354" i="1" s="1"/>
  <c r="I353" i="1"/>
  <c r="K353" i="1" s="1"/>
  <c r="I352" i="1"/>
  <c r="I351" i="1"/>
  <c r="I350" i="1"/>
  <c r="I349" i="1"/>
  <c r="I348" i="1"/>
  <c r="I347" i="1"/>
  <c r="I346" i="1"/>
  <c r="K346" i="1" s="1"/>
  <c r="I345" i="1"/>
  <c r="K345" i="1" s="1"/>
  <c r="I344" i="1"/>
  <c r="I343" i="1"/>
  <c r="I342" i="1"/>
  <c r="I341" i="1"/>
  <c r="I340" i="1"/>
  <c r="I339" i="1"/>
  <c r="I338" i="1"/>
  <c r="K338" i="1" s="1"/>
  <c r="I337" i="1"/>
  <c r="K337" i="1" s="1"/>
  <c r="I336" i="1"/>
  <c r="I335" i="1"/>
  <c r="I334" i="1"/>
  <c r="I333" i="1"/>
  <c r="I332" i="1"/>
  <c r="I331" i="1"/>
  <c r="I330" i="1"/>
  <c r="K330" i="1" s="1"/>
  <c r="I329" i="1"/>
  <c r="K329" i="1" s="1"/>
  <c r="I328" i="1"/>
  <c r="I327" i="1"/>
  <c r="I326" i="1"/>
  <c r="I325" i="1"/>
  <c r="I324" i="1"/>
  <c r="I323" i="1"/>
  <c r="I322" i="1"/>
  <c r="K322" i="1" s="1"/>
  <c r="I321" i="1"/>
  <c r="K321" i="1" s="1"/>
  <c r="I320" i="1"/>
  <c r="I319" i="1"/>
  <c r="I318" i="1"/>
  <c r="I316" i="1"/>
  <c r="I315" i="1"/>
  <c r="I314" i="1"/>
  <c r="I313" i="1"/>
  <c r="K313" i="1" s="1"/>
  <c r="I312" i="1"/>
  <c r="K312" i="1" s="1"/>
  <c r="I311" i="1"/>
  <c r="I310" i="1"/>
  <c r="I309" i="1"/>
  <c r="I308" i="1"/>
  <c r="I307" i="1"/>
  <c r="I306" i="1"/>
  <c r="I305" i="1"/>
  <c r="K305" i="1" s="1"/>
  <c r="I304" i="1"/>
  <c r="K304" i="1" s="1"/>
  <c r="I303" i="1"/>
  <c r="I302" i="1"/>
  <c r="I301" i="1"/>
  <c r="I300" i="1"/>
  <c r="I299" i="1"/>
  <c r="I298" i="1"/>
  <c r="I297" i="1"/>
  <c r="K297" i="1" s="1"/>
  <c r="I296" i="1"/>
  <c r="K296" i="1" s="1"/>
  <c r="I295" i="1"/>
  <c r="I293" i="1"/>
  <c r="I292" i="1"/>
  <c r="I291" i="1"/>
  <c r="I290" i="1"/>
  <c r="I289" i="1"/>
  <c r="I288" i="1"/>
  <c r="K288" i="1" s="1"/>
  <c r="I287" i="1"/>
  <c r="K287" i="1" s="1"/>
  <c r="I286" i="1"/>
  <c r="I285" i="1"/>
  <c r="I284" i="1"/>
  <c r="I283" i="1"/>
  <c r="I282" i="1"/>
  <c r="I281" i="1"/>
  <c r="I280" i="1"/>
  <c r="K280" i="1" s="1"/>
  <c r="I279" i="1"/>
  <c r="K279" i="1" s="1"/>
  <c r="I277" i="1"/>
  <c r="I276" i="1"/>
  <c r="I275" i="1"/>
  <c r="I274" i="1"/>
  <c r="I272" i="1"/>
  <c r="I270" i="1"/>
  <c r="I268" i="1"/>
  <c r="K268" i="1" s="1"/>
  <c r="I267" i="1"/>
  <c r="K267" i="1" s="1"/>
  <c r="I266" i="1"/>
  <c r="I265" i="1"/>
  <c r="I264" i="1"/>
  <c r="I263" i="1"/>
  <c r="I262" i="1"/>
  <c r="I261" i="1"/>
  <c r="I260" i="1"/>
  <c r="K260" i="1" s="1"/>
  <c r="I259" i="1"/>
  <c r="K259" i="1" s="1"/>
  <c r="I258" i="1"/>
  <c r="I257" i="1"/>
  <c r="I256" i="1"/>
  <c r="I255" i="1"/>
  <c r="I254" i="1"/>
  <c r="I253" i="1"/>
  <c r="I252" i="1"/>
  <c r="K252" i="1" s="1"/>
  <c r="I251" i="1"/>
  <c r="K251" i="1" s="1"/>
  <c r="I250" i="1"/>
  <c r="I249" i="1"/>
  <c r="I248" i="1"/>
  <c r="I247" i="1"/>
  <c r="I245" i="1"/>
  <c r="I244" i="1"/>
  <c r="I242" i="1"/>
  <c r="K242" i="1" s="1"/>
  <c r="I241" i="1"/>
  <c r="K241" i="1" s="1"/>
  <c r="I240" i="1"/>
  <c r="I239" i="1"/>
  <c r="I238" i="1"/>
  <c r="I237" i="1"/>
  <c r="I236" i="1"/>
  <c r="I235" i="1"/>
  <c r="I234" i="1"/>
  <c r="K234" i="1" s="1"/>
  <c r="I233" i="1"/>
  <c r="K233" i="1" s="1"/>
  <c r="I232" i="1"/>
  <c r="I231" i="1"/>
  <c r="I230" i="1"/>
  <c r="I229" i="1"/>
  <c r="I228" i="1"/>
  <c r="I227" i="1"/>
  <c r="I226" i="1"/>
  <c r="K226" i="1" s="1"/>
  <c r="I225" i="1"/>
  <c r="K225" i="1" s="1"/>
  <c r="I224" i="1"/>
  <c r="I223" i="1"/>
  <c r="I222" i="1"/>
  <c r="I221" i="1"/>
  <c r="I220" i="1"/>
  <c r="I219" i="1"/>
  <c r="I218" i="1"/>
  <c r="K218" i="1" s="1"/>
  <c r="I217" i="1"/>
  <c r="K217" i="1" s="1"/>
  <c r="I216" i="1"/>
  <c r="I215" i="1"/>
  <c r="I214" i="1"/>
  <c r="I213" i="1"/>
  <c r="I212" i="1"/>
  <c r="I211" i="1"/>
  <c r="I210" i="1"/>
  <c r="K210" i="1" s="1"/>
  <c r="I209" i="1"/>
  <c r="K209" i="1" s="1"/>
  <c r="I208" i="1"/>
  <c r="I207" i="1"/>
  <c r="I206" i="1"/>
  <c r="I205" i="1"/>
  <c r="I204" i="1"/>
  <c r="I202" i="1"/>
  <c r="I201" i="1"/>
  <c r="K201" i="1" s="1"/>
  <c r="I200" i="1"/>
  <c r="K200" i="1" s="1"/>
  <c r="I199" i="1"/>
  <c r="I198" i="1"/>
  <c r="I197" i="1"/>
  <c r="I196" i="1"/>
  <c r="I195" i="1"/>
  <c r="I194" i="1"/>
  <c r="I193" i="1"/>
  <c r="K193" i="1" s="1"/>
  <c r="I192" i="1"/>
  <c r="K192" i="1" s="1"/>
  <c r="I191" i="1"/>
  <c r="I190" i="1"/>
  <c r="I189" i="1"/>
  <c r="I188" i="1"/>
  <c r="I187" i="1"/>
  <c r="I186" i="1"/>
  <c r="I185" i="1"/>
  <c r="K185" i="1" s="1"/>
  <c r="I184" i="1"/>
  <c r="K184" i="1" s="1"/>
  <c r="I183" i="1"/>
  <c r="I182" i="1"/>
  <c r="I181" i="1"/>
  <c r="I180" i="1"/>
  <c r="I179" i="1"/>
  <c r="I178" i="1"/>
  <c r="I177" i="1"/>
  <c r="K177" i="1" s="1"/>
  <c r="I176" i="1"/>
  <c r="K176" i="1" s="1"/>
  <c r="I175" i="1"/>
  <c r="I174" i="1"/>
  <c r="I173" i="1"/>
  <c r="I172" i="1"/>
  <c r="I171" i="1"/>
  <c r="I170" i="1"/>
  <c r="I169" i="1"/>
  <c r="K169" i="1" s="1"/>
  <c r="I168" i="1"/>
  <c r="K168" i="1" s="1"/>
  <c r="I167" i="1"/>
  <c r="I166" i="1"/>
  <c r="I165" i="1"/>
  <c r="I164" i="1"/>
  <c r="I163" i="1"/>
  <c r="I162" i="1"/>
  <c r="I161" i="1"/>
  <c r="K161" i="1" s="1"/>
  <c r="I160" i="1"/>
  <c r="K160" i="1" s="1"/>
  <c r="I159" i="1"/>
  <c r="I158" i="1"/>
  <c r="I157" i="1"/>
  <c r="I156" i="1"/>
  <c r="I155" i="1"/>
  <c r="I154" i="1"/>
  <c r="I153" i="1"/>
  <c r="K153" i="1" s="1"/>
  <c r="I152" i="1"/>
  <c r="K152" i="1" s="1"/>
  <c r="I151" i="1"/>
  <c r="I150" i="1"/>
  <c r="I149" i="1"/>
  <c r="I148" i="1"/>
  <c r="I147" i="1"/>
  <c r="I146" i="1"/>
  <c r="I145" i="1"/>
  <c r="K145" i="1" s="1"/>
  <c r="I144" i="1"/>
  <c r="K144" i="1" s="1"/>
  <c r="I143" i="1"/>
  <c r="I142" i="1"/>
  <c r="I141" i="1"/>
  <c r="I140" i="1"/>
  <c r="I139" i="1"/>
  <c r="I138" i="1"/>
  <c r="I137" i="1"/>
  <c r="K137" i="1" s="1"/>
  <c r="I136" i="1"/>
  <c r="K136" i="1" s="1"/>
  <c r="I135" i="1"/>
  <c r="I134" i="1"/>
  <c r="I133" i="1"/>
  <c r="I132" i="1"/>
  <c r="I131" i="1"/>
  <c r="I130" i="1"/>
  <c r="I129" i="1"/>
  <c r="K129" i="1" s="1"/>
  <c r="I128" i="1"/>
  <c r="K128" i="1" s="1"/>
  <c r="I127" i="1"/>
  <c r="I126" i="1"/>
  <c r="I125" i="1"/>
  <c r="I124" i="1"/>
  <c r="I123" i="1"/>
  <c r="I122" i="1"/>
  <c r="I121" i="1"/>
  <c r="K121" i="1" s="1"/>
  <c r="I120" i="1"/>
  <c r="K120" i="1" s="1"/>
  <c r="I119" i="1"/>
  <c r="I118" i="1"/>
  <c r="I117" i="1"/>
  <c r="I116" i="1"/>
  <c r="I115" i="1"/>
  <c r="I114" i="1"/>
  <c r="I113" i="1"/>
  <c r="K113" i="1" s="1"/>
  <c r="I112" i="1"/>
  <c r="K112" i="1" s="1"/>
  <c r="I111" i="1"/>
  <c r="I110" i="1"/>
  <c r="I109" i="1"/>
  <c r="I108" i="1"/>
  <c r="I107" i="1"/>
  <c r="I106" i="1"/>
  <c r="I105" i="1"/>
  <c r="K105" i="1" s="1"/>
  <c r="I104" i="1"/>
  <c r="K104" i="1" s="1"/>
  <c r="I103" i="1"/>
  <c r="I102" i="1"/>
  <c r="I101" i="1"/>
  <c r="I100" i="1"/>
  <c r="I99" i="1"/>
  <c r="I98" i="1"/>
  <c r="I97" i="1"/>
  <c r="K97" i="1" s="1"/>
  <c r="I96" i="1"/>
  <c r="K96" i="1" s="1"/>
  <c r="I95" i="1"/>
  <c r="I94" i="1"/>
  <c r="I93" i="1"/>
  <c r="I92" i="1"/>
  <c r="I91" i="1"/>
  <c r="I90" i="1"/>
  <c r="I89" i="1"/>
  <c r="K89" i="1" s="1"/>
  <c r="I88" i="1"/>
  <c r="K88" i="1" s="1"/>
  <c r="I87" i="1"/>
  <c r="I86" i="1"/>
  <c r="I85" i="1"/>
  <c r="I84" i="1"/>
  <c r="I83" i="1"/>
  <c r="I82" i="1"/>
  <c r="I81" i="1"/>
  <c r="K81" i="1" s="1"/>
  <c r="I80" i="1"/>
  <c r="K80" i="1" s="1"/>
  <c r="I79" i="1"/>
  <c r="I78" i="1"/>
  <c r="I77" i="1"/>
  <c r="I76" i="1"/>
  <c r="I75" i="1"/>
  <c r="I74" i="1"/>
  <c r="I73" i="1"/>
  <c r="K73" i="1" s="1"/>
  <c r="I72" i="1"/>
  <c r="K72" i="1" s="1"/>
  <c r="I71" i="1"/>
  <c r="I70" i="1"/>
  <c r="I69" i="1"/>
  <c r="I68" i="1"/>
  <c r="I67" i="1"/>
  <c r="I66" i="1"/>
  <c r="I65" i="1"/>
  <c r="K65" i="1" s="1"/>
  <c r="I64" i="1"/>
  <c r="K64" i="1" s="1"/>
  <c r="I63" i="1"/>
  <c r="I62" i="1"/>
  <c r="I61" i="1"/>
  <c r="I60" i="1"/>
  <c r="I59" i="1"/>
  <c r="I58" i="1"/>
  <c r="I57" i="1"/>
  <c r="K57" i="1" s="1"/>
  <c r="I56" i="1"/>
  <c r="K56" i="1" s="1"/>
  <c r="I55" i="1"/>
  <c r="I54" i="1"/>
  <c r="I53" i="1"/>
  <c r="I52" i="1"/>
  <c r="I51" i="1"/>
  <c r="I50" i="1"/>
  <c r="I49" i="1"/>
  <c r="K49" i="1" s="1"/>
  <c r="I48" i="1"/>
  <c r="K48" i="1" s="1"/>
  <c r="I47" i="1"/>
  <c r="I46" i="1"/>
  <c r="I45" i="1"/>
  <c r="I44" i="1"/>
  <c r="I43" i="1"/>
  <c r="I42" i="1"/>
  <c r="I41" i="1"/>
  <c r="K41" i="1" s="1"/>
  <c r="I40" i="1"/>
  <c r="K40" i="1" s="1"/>
  <c r="I39" i="1"/>
  <c r="I38" i="1"/>
  <c r="I37" i="1"/>
  <c r="I36" i="1"/>
  <c r="I35" i="1"/>
  <c r="I34" i="1"/>
  <c r="I33" i="1"/>
  <c r="K33" i="1" s="1"/>
  <c r="I32" i="1"/>
  <c r="K32" i="1" s="1"/>
  <c r="I31" i="1"/>
  <c r="I30" i="1"/>
  <c r="I29" i="1"/>
  <c r="I28" i="1"/>
  <c r="I27" i="1"/>
  <c r="I26" i="1"/>
  <c r="I25" i="1"/>
  <c r="K25" i="1" s="1"/>
  <c r="I24" i="1"/>
  <c r="K24" i="1" s="1"/>
  <c r="I23" i="1"/>
  <c r="I22" i="1"/>
  <c r="I21" i="1"/>
  <c r="I20" i="1"/>
  <c r="I19" i="1"/>
  <c r="I18" i="1"/>
  <c r="I17" i="1"/>
  <c r="K17" i="1" s="1"/>
  <c r="I16" i="1"/>
  <c r="K16" i="1" s="1"/>
  <c r="I15" i="1"/>
  <c r="I14" i="1"/>
  <c r="I13" i="1"/>
  <c r="I12" i="1"/>
  <c r="I11" i="1"/>
  <c r="I10" i="1"/>
  <c r="I9" i="1"/>
  <c r="K9" i="1" s="1"/>
  <c r="I8" i="1"/>
  <c r="K8" i="1" s="1"/>
  <c r="I7" i="1"/>
  <c r="I6" i="1"/>
  <c r="I5" i="1"/>
  <c r="I4" i="1"/>
  <c r="I3" i="1"/>
  <c r="I2" i="1"/>
  <c r="H961" i="1"/>
  <c r="L961" i="1" s="1"/>
  <c r="H960" i="1"/>
  <c r="L960" i="1" s="1"/>
  <c r="H959" i="1"/>
  <c r="L959" i="1" s="1"/>
  <c r="H958" i="1"/>
  <c r="L958" i="1" s="1"/>
  <c r="H957" i="1"/>
  <c r="L957" i="1" s="1"/>
  <c r="H956" i="1"/>
  <c r="L956" i="1" s="1"/>
  <c r="H955" i="1"/>
  <c r="L955" i="1" s="1"/>
  <c r="H954" i="1"/>
  <c r="L954" i="1" s="1"/>
  <c r="H953" i="1"/>
  <c r="L953" i="1" s="1"/>
  <c r="H952" i="1"/>
  <c r="L952" i="1" s="1"/>
  <c r="H951" i="1"/>
  <c r="L951" i="1" s="1"/>
  <c r="H950" i="1"/>
  <c r="L950" i="1" s="1"/>
  <c r="H949" i="1"/>
  <c r="L949" i="1" s="1"/>
  <c r="H948" i="1"/>
  <c r="L948" i="1" s="1"/>
  <c r="H947" i="1"/>
  <c r="L947" i="1" s="1"/>
  <c r="H946" i="1"/>
  <c r="L946" i="1" s="1"/>
  <c r="H945" i="1"/>
  <c r="L945" i="1" s="1"/>
  <c r="H944" i="1"/>
  <c r="L944" i="1" s="1"/>
  <c r="H943" i="1"/>
  <c r="L943" i="1" s="1"/>
  <c r="H942" i="1"/>
  <c r="L942" i="1" s="1"/>
  <c r="H941" i="1"/>
  <c r="L941" i="1" s="1"/>
  <c r="H940" i="1"/>
  <c r="L940" i="1" s="1"/>
  <c r="H939" i="1"/>
  <c r="L939" i="1" s="1"/>
  <c r="H938" i="1"/>
  <c r="L938" i="1" s="1"/>
  <c r="H937" i="1"/>
  <c r="L937" i="1" s="1"/>
  <c r="H936" i="1"/>
  <c r="L936" i="1" s="1"/>
  <c r="H935" i="1"/>
  <c r="L935" i="1" s="1"/>
  <c r="H934" i="1"/>
  <c r="L934" i="1" s="1"/>
  <c r="H933" i="1"/>
  <c r="L933" i="1" s="1"/>
  <c r="H932" i="1"/>
  <c r="L932" i="1" s="1"/>
  <c r="H931" i="1"/>
  <c r="L931" i="1" s="1"/>
  <c r="H930" i="1"/>
  <c r="L930" i="1" s="1"/>
  <c r="H929" i="1"/>
  <c r="L929" i="1" s="1"/>
  <c r="H928" i="1"/>
  <c r="L928" i="1" s="1"/>
  <c r="H927" i="1"/>
  <c r="L927" i="1" s="1"/>
  <c r="H926" i="1"/>
  <c r="L926" i="1" s="1"/>
  <c r="H925" i="1"/>
  <c r="L925" i="1" s="1"/>
  <c r="H924" i="1"/>
  <c r="L924" i="1" s="1"/>
  <c r="H923" i="1"/>
  <c r="L923" i="1" s="1"/>
  <c r="H922" i="1"/>
  <c r="L922" i="1" s="1"/>
  <c r="H921" i="1"/>
  <c r="L921" i="1" s="1"/>
  <c r="H920" i="1"/>
  <c r="L920" i="1" s="1"/>
  <c r="H919" i="1"/>
  <c r="L919" i="1" s="1"/>
  <c r="H918" i="1"/>
  <c r="L918" i="1" s="1"/>
  <c r="H917" i="1"/>
  <c r="L917" i="1" s="1"/>
  <c r="H916" i="1"/>
  <c r="L916" i="1" s="1"/>
  <c r="H915" i="1"/>
  <c r="L915" i="1" s="1"/>
  <c r="H914" i="1"/>
  <c r="L914" i="1" s="1"/>
  <c r="H913" i="1"/>
  <c r="L913" i="1" s="1"/>
  <c r="H912" i="1"/>
  <c r="L912" i="1" s="1"/>
  <c r="H911" i="1"/>
  <c r="L911" i="1" s="1"/>
  <c r="H910" i="1"/>
  <c r="L910" i="1" s="1"/>
  <c r="H909" i="1"/>
  <c r="L909" i="1" s="1"/>
  <c r="H908" i="1"/>
  <c r="L908" i="1" s="1"/>
  <c r="H907" i="1"/>
  <c r="L907" i="1" s="1"/>
  <c r="H906" i="1"/>
  <c r="L906" i="1" s="1"/>
  <c r="H905" i="1"/>
  <c r="L905" i="1" s="1"/>
  <c r="H904" i="1"/>
  <c r="L904" i="1" s="1"/>
  <c r="H903" i="1"/>
  <c r="L903" i="1" s="1"/>
  <c r="H902" i="1"/>
  <c r="L902" i="1" s="1"/>
  <c r="H901" i="1"/>
  <c r="L901" i="1" s="1"/>
  <c r="H900" i="1"/>
  <c r="L900" i="1" s="1"/>
  <c r="H899" i="1"/>
  <c r="L899" i="1" s="1"/>
  <c r="H898" i="1"/>
  <c r="L898" i="1" s="1"/>
  <c r="H897" i="1"/>
  <c r="L897" i="1" s="1"/>
  <c r="H896" i="1"/>
  <c r="L896" i="1" s="1"/>
  <c r="H895" i="1"/>
  <c r="L895" i="1" s="1"/>
  <c r="H894" i="1"/>
  <c r="L894" i="1" s="1"/>
  <c r="H893" i="1"/>
  <c r="L893" i="1" s="1"/>
  <c r="H892" i="1"/>
  <c r="L892" i="1" s="1"/>
  <c r="H891" i="1"/>
  <c r="L891" i="1" s="1"/>
  <c r="H890" i="1"/>
  <c r="L890" i="1" s="1"/>
  <c r="H889" i="1"/>
  <c r="L889" i="1" s="1"/>
  <c r="H888" i="1"/>
  <c r="L888" i="1" s="1"/>
  <c r="H887" i="1"/>
  <c r="L887" i="1" s="1"/>
  <c r="H886" i="1"/>
  <c r="L886" i="1" s="1"/>
  <c r="H885" i="1"/>
  <c r="L885" i="1" s="1"/>
  <c r="H884" i="1"/>
  <c r="L884" i="1" s="1"/>
  <c r="H883" i="1"/>
  <c r="L883" i="1" s="1"/>
  <c r="H882" i="1"/>
  <c r="L882" i="1" s="1"/>
  <c r="H881" i="1"/>
  <c r="L881" i="1" s="1"/>
  <c r="H880" i="1"/>
  <c r="L880" i="1" s="1"/>
  <c r="H879" i="1"/>
  <c r="L879" i="1" s="1"/>
  <c r="H878" i="1"/>
  <c r="L878" i="1" s="1"/>
  <c r="H877" i="1"/>
  <c r="L877" i="1" s="1"/>
  <c r="H876" i="1"/>
  <c r="L876" i="1" s="1"/>
  <c r="H875" i="1"/>
  <c r="L875" i="1" s="1"/>
  <c r="H874" i="1"/>
  <c r="L874" i="1" s="1"/>
  <c r="H873" i="1"/>
  <c r="L873" i="1" s="1"/>
  <c r="H872" i="1"/>
  <c r="L872" i="1" s="1"/>
  <c r="H871" i="1"/>
  <c r="L871" i="1" s="1"/>
  <c r="H870" i="1"/>
  <c r="L870" i="1" s="1"/>
  <c r="H869" i="1"/>
  <c r="L869" i="1" s="1"/>
  <c r="H868" i="1"/>
  <c r="L868" i="1" s="1"/>
  <c r="H867" i="1"/>
  <c r="L867" i="1" s="1"/>
  <c r="H866" i="1"/>
  <c r="L866" i="1" s="1"/>
  <c r="H865" i="1"/>
  <c r="L865" i="1" s="1"/>
  <c r="H864" i="1"/>
  <c r="L864" i="1" s="1"/>
  <c r="H863" i="1"/>
  <c r="L863" i="1" s="1"/>
  <c r="H862" i="1"/>
  <c r="L862" i="1" s="1"/>
  <c r="H861" i="1"/>
  <c r="L861" i="1" s="1"/>
  <c r="H860" i="1"/>
  <c r="L860" i="1" s="1"/>
  <c r="H859" i="1"/>
  <c r="L859" i="1" s="1"/>
  <c r="H858" i="1"/>
  <c r="L858" i="1" s="1"/>
  <c r="H857" i="1"/>
  <c r="L857" i="1" s="1"/>
  <c r="H856" i="1"/>
  <c r="L856" i="1" s="1"/>
  <c r="H855" i="1"/>
  <c r="L855" i="1" s="1"/>
  <c r="H854" i="1"/>
  <c r="L854" i="1" s="1"/>
  <c r="H853" i="1"/>
  <c r="L853" i="1" s="1"/>
  <c r="H852" i="1"/>
  <c r="L852" i="1" s="1"/>
  <c r="H851" i="1"/>
  <c r="L851" i="1" s="1"/>
  <c r="H850" i="1"/>
  <c r="L850" i="1" s="1"/>
  <c r="H849" i="1"/>
  <c r="L849" i="1" s="1"/>
  <c r="H848" i="1"/>
  <c r="L848" i="1" s="1"/>
  <c r="H847" i="1"/>
  <c r="L847" i="1" s="1"/>
  <c r="H846" i="1"/>
  <c r="L846" i="1" s="1"/>
  <c r="H845" i="1"/>
  <c r="L845" i="1" s="1"/>
  <c r="H844" i="1"/>
  <c r="L844" i="1" s="1"/>
  <c r="H843" i="1"/>
  <c r="L843" i="1" s="1"/>
  <c r="H842" i="1"/>
  <c r="L842" i="1" s="1"/>
  <c r="H841" i="1"/>
  <c r="L841" i="1" s="1"/>
  <c r="H840" i="1"/>
  <c r="L840" i="1" s="1"/>
  <c r="H839" i="1"/>
  <c r="L839" i="1" s="1"/>
  <c r="H838" i="1"/>
  <c r="L838" i="1" s="1"/>
  <c r="H837" i="1"/>
  <c r="L837" i="1" s="1"/>
  <c r="H836" i="1"/>
  <c r="L836" i="1" s="1"/>
  <c r="H835" i="1"/>
  <c r="L835" i="1" s="1"/>
  <c r="H834" i="1"/>
  <c r="L834" i="1" s="1"/>
  <c r="H833" i="1"/>
  <c r="L833" i="1" s="1"/>
  <c r="H832" i="1"/>
  <c r="L832" i="1" s="1"/>
  <c r="H831" i="1"/>
  <c r="L831" i="1" s="1"/>
  <c r="H830" i="1"/>
  <c r="L830" i="1" s="1"/>
  <c r="H829" i="1"/>
  <c r="L829" i="1" s="1"/>
  <c r="H828" i="1"/>
  <c r="L828" i="1" s="1"/>
  <c r="H827" i="1"/>
  <c r="L827" i="1" s="1"/>
  <c r="H826" i="1"/>
  <c r="L826" i="1" s="1"/>
  <c r="H825" i="1"/>
  <c r="L825" i="1" s="1"/>
  <c r="H824" i="1"/>
  <c r="L824" i="1" s="1"/>
  <c r="H823" i="1"/>
  <c r="L823" i="1" s="1"/>
  <c r="H822" i="1"/>
  <c r="L822" i="1" s="1"/>
  <c r="H821" i="1"/>
  <c r="L821" i="1" s="1"/>
  <c r="H820" i="1"/>
  <c r="L820" i="1" s="1"/>
  <c r="H818" i="1"/>
  <c r="L818" i="1" s="1"/>
  <c r="H817" i="1"/>
  <c r="L817" i="1" s="1"/>
  <c r="H816" i="1"/>
  <c r="L816" i="1" s="1"/>
  <c r="H815" i="1"/>
  <c r="L815" i="1" s="1"/>
  <c r="H814" i="1"/>
  <c r="L814" i="1" s="1"/>
  <c r="H813" i="1"/>
  <c r="L813" i="1" s="1"/>
  <c r="H812" i="1"/>
  <c r="L812" i="1" s="1"/>
  <c r="H811" i="1"/>
  <c r="L811" i="1" s="1"/>
  <c r="H810" i="1"/>
  <c r="L810" i="1" s="1"/>
  <c r="H809" i="1"/>
  <c r="L809" i="1" s="1"/>
  <c r="H808" i="1"/>
  <c r="L808" i="1" s="1"/>
  <c r="H807" i="1"/>
  <c r="L807" i="1" s="1"/>
  <c r="H806" i="1"/>
  <c r="L806" i="1" s="1"/>
  <c r="H805" i="1"/>
  <c r="L805" i="1" s="1"/>
  <c r="H804" i="1"/>
  <c r="L804" i="1" s="1"/>
  <c r="H803" i="1"/>
  <c r="L803" i="1" s="1"/>
  <c r="H802" i="1"/>
  <c r="L802" i="1" s="1"/>
  <c r="H801" i="1"/>
  <c r="L801" i="1" s="1"/>
  <c r="H800" i="1"/>
  <c r="L800" i="1" s="1"/>
  <c r="H799" i="1"/>
  <c r="L799" i="1" s="1"/>
  <c r="H798" i="1"/>
  <c r="L798" i="1" s="1"/>
  <c r="H797" i="1"/>
  <c r="L797" i="1" s="1"/>
  <c r="H796" i="1"/>
  <c r="L796" i="1" s="1"/>
  <c r="H795" i="1"/>
  <c r="L795" i="1" s="1"/>
  <c r="H794" i="1"/>
  <c r="L794" i="1" s="1"/>
  <c r="H793" i="1"/>
  <c r="L793" i="1" s="1"/>
  <c r="H792" i="1"/>
  <c r="L792" i="1" s="1"/>
  <c r="H791" i="1"/>
  <c r="L791" i="1" s="1"/>
  <c r="H790" i="1"/>
  <c r="L790" i="1" s="1"/>
  <c r="H789" i="1"/>
  <c r="L789" i="1" s="1"/>
  <c r="H788" i="1"/>
  <c r="L788" i="1" s="1"/>
  <c r="H787" i="1"/>
  <c r="L787" i="1" s="1"/>
  <c r="H786" i="1"/>
  <c r="L786" i="1" s="1"/>
  <c r="H785" i="1"/>
  <c r="L785" i="1" s="1"/>
  <c r="H784" i="1"/>
  <c r="L784" i="1" s="1"/>
  <c r="H783" i="1"/>
  <c r="L783" i="1" s="1"/>
  <c r="H782" i="1"/>
  <c r="L782" i="1" s="1"/>
  <c r="H781" i="1"/>
  <c r="L781" i="1" s="1"/>
  <c r="H780" i="1"/>
  <c r="L780" i="1" s="1"/>
  <c r="H779" i="1"/>
  <c r="L779" i="1" s="1"/>
  <c r="H778" i="1"/>
  <c r="L778" i="1" s="1"/>
  <c r="H777" i="1"/>
  <c r="L777" i="1" s="1"/>
  <c r="H776" i="1"/>
  <c r="L776" i="1" s="1"/>
  <c r="H775" i="1"/>
  <c r="L775" i="1" s="1"/>
  <c r="H774" i="1"/>
  <c r="L774" i="1" s="1"/>
  <c r="H773" i="1"/>
  <c r="L773" i="1" s="1"/>
  <c r="H772" i="1"/>
  <c r="L772" i="1" s="1"/>
  <c r="H771" i="1"/>
  <c r="L771" i="1" s="1"/>
  <c r="H770" i="1"/>
  <c r="L770" i="1" s="1"/>
  <c r="H769" i="1"/>
  <c r="L769" i="1" s="1"/>
  <c r="H768" i="1"/>
  <c r="L768" i="1" s="1"/>
  <c r="H767" i="1"/>
  <c r="L767" i="1" s="1"/>
  <c r="H766" i="1"/>
  <c r="L766" i="1" s="1"/>
  <c r="H765" i="1"/>
  <c r="L765" i="1" s="1"/>
  <c r="H764" i="1"/>
  <c r="L764" i="1" s="1"/>
  <c r="H762" i="1"/>
  <c r="L762" i="1" s="1"/>
  <c r="H761" i="1"/>
  <c r="L761" i="1" s="1"/>
  <c r="H760" i="1"/>
  <c r="L760" i="1" s="1"/>
  <c r="H759" i="1"/>
  <c r="L759" i="1" s="1"/>
  <c r="H758" i="1"/>
  <c r="L758" i="1" s="1"/>
  <c r="H757" i="1"/>
  <c r="L757" i="1" s="1"/>
  <c r="H756" i="1"/>
  <c r="L756" i="1" s="1"/>
  <c r="H755" i="1"/>
  <c r="L755" i="1" s="1"/>
  <c r="H754" i="1"/>
  <c r="L754" i="1" s="1"/>
  <c r="H752" i="1"/>
  <c r="L752" i="1" s="1"/>
  <c r="H751" i="1"/>
  <c r="L751" i="1" s="1"/>
  <c r="H750" i="1"/>
  <c r="L750" i="1" s="1"/>
  <c r="H749" i="1"/>
  <c r="L749" i="1" s="1"/>
  <c r="H748" i="1"/>
  <c r="L748" i="1" s="1"/>
  <c r="H747" i="1"/>
  <c r="L747" i="1" s="1"/>
  <c r="H746" i="1"/>
  <c r="L746" i="1" s="1"/>
  <c r="H745" i="1"/>
  <c r="L745" i="1" s="1"/>
  <c r="H744" i="1"/>
  <c r="L744" i="1" s="1"/>
  <c r="H743" i="1"/>
  <c r="L743" i="1" s="1"/>
  <c r="H742" i="1"/>
  <c r="L742" i="1" s="1"/>
  <c r="H741" i="1"/>
  <c r="L741" i="1" s="1"/>
  <c r="H740" i="1"/>
  <c r="L740" i="1" s="1"/>
  <c r="H739" i="1"/>
  <c r="L739" i="1" s="1"/>
  <c r="H738" i="1"/>
  <c r="L738" i="1" s="1"/>
  <c r="H736" i="1"/>
  <c r="L736" i="1" s="1"/>
  <c r="H735" i="1"/>
  <c r="L735" i="1" s="1"/>
  <c r="H734" i="1"/>
  <c r="L734" i="1" s="1"/>
  <c r="H733" i="1"/>
  <c r="L733" i="1" s="1"/>
  <c r="H732" i="1"/>
  <c r="L732" i="1" s="1"/>
  <c r="H731" i="1"/>
  <c r="L731" i="1" s="1"/>
  <c r="H730" i="1"/>
  <c r="L730" i="1" s="1"/>
  <c r="H729" i="1"/>
  <c r="L729" i="1" s="1"/>
  <c r="H728" i="1"/>
  <c r="L728" i="1" s="1"/>
  <c r="H727" i="1"/>
  <c r="L727" i="1" s="1"/>
  <c r="H726" i="1"/>
  <c r="L726" i="1" s="1"/>
  <c r="H725" i="1"/>
  <c r="L725" i="1" s="1"/>
  <c r="H724" i="1"/>
  <c r="L724" i="1" s="1"/>
  <c r="H723" i="1"/>
  <c r="L723" i="1" s="1"/>
  <c r="H722" i="1"/>
  <c r="L722" i="1" s="1"/>
  <c r="H721" i="1"/>
  <c r="L721" i="1" s="1"/>
  <c r="H720" i="1"/>
  <c r="L720" i="1" s="1"/>
  <c r="H719" i="1"/>
  <c r="L719" i="1" s="1"/>
  <c r="H718" i="1"/>
  <c r="L718" i="1" s="1"/>
  <c r="H717" i="1"/>
  <c r="L717" i="1" s="1"/>
  <c r="H716" i="1"/>
  <c r="L716" i="1" s="1"/>
  <c r="H715" i="1"/>
  <c r="L715" i="1" s="1"/>
  <c r="H714" i="1"/>
  <c r="L714" i="1" s="1"/>
  <c r="H713" i="1"/>
  <c r="L713" i="1" s="1"/>
  <c r="H712" i="1"/>
  <c r="L712" i="1" s="1"/>
  <c r="H711" i="1"/>
  <c r="L711" i="1" s="1"/>
  <c r="H710" i="1"/>
  <c r="L710" i="1" s="1"/>
  <c r="H709" i="1"/>
  <c r="L709" i="1" s="1"/>
  <c r="H708" i="1"/>
  <c r="L708" i="1" s="1"/>
  <c r="H707" i="1"/>
  <c r="L707" i="1" s="1"/>
  <c r="H706" i="1"/>
  <c r="L706" i="1" s="1"/>
  <c r="H705" i="1"/>
  <c r="L705" i="1" s="1"/>
  <c r="H704" i="1"/>
  <c r="L704" i="1" s="1"/>
  <c r="H703" i="1"/>
  <c r="L703" i="1" s="1"/>
  <c r="H702" i="1"/>
  <c r="L702" i="1" s="1"/>
  <c r="H701" i="1"/>
  <c r="L701" i="1" s="1"/>
  <c r="H700" i="1"/>
  <c r="L700" i="1" s="1"/>
  <c r="H699" i="1"/>
  <c r="L699" i="1" s="1"/>
  <c r="H698" i="1"/>
  <c r="L698" i="1" s="1"/>
  <c r="H697" i="1"/>
  <c r="L697" i="1" s="1"/>
  <c r="H696" i="1"/>
  <c r="L696" i="1" s="1"/>
  <c r="H695" i="1"/>
  <c r="L695" i="1" s="1"/>
  <c r="H694" i="1"/>
  <c r="L694" i="1" s="1"/>
  <c r="H693" i="1"/>
  <c r="L693" i="1" s="1"/>
  <c r="H692" i="1"/>
  <c r="L692" i="1" s="1"/>
  <c r="H690" i="1"/>
  <c r="L690" i="1" s="1"/>
  <c r="H689" i="1"/>
  <c r="L689" i="1" s="1"/>
  <c r="H688" i="1"/>
  <c r="L688" i="1" s="1"/>
  <c r="H687" i="1"/>
  <c r="L687" i="1" s="1"/>
  <c r="H686" i="1"/>
  <c r="L686" i="1" s="1"/>
  <c r="H685" i="1"/>
  <c r="L685" i="1" s="1"/>
  <c r="H684" i="1"/>
  <c r="L684" i="1" s="1"/>
  <c r="H683" i="1"/>
  <c r="L683" i="1" s="1"/>
  <c r="H682" i="1"/>
  <c r="L682" i="1" s="1"/>
  <c r="H681" i="1"/>
  <c r="L681" i="1" s="1"/>
  <c r="H680" i="1"/>
  <c r="L680" i="1" s="1"/>
  <c r="H679" i="1"/>
  <c r="L679" i="1" s="1"/>
  <c r="H678" i="1"/>
  <c r="L678" i="1" s="1"/>
  <c r="H677" i="1"/>
  <c r="L677" i="1" s="1"/>
  <c r="H676" i="1"/>
  <c r="L676" i="1" s="1"/>
  <c r="H674" i="1"/>
  <c r="L674" i="1" s="1"/>
  <c r="H673" i="1"/>
  <c r="L673" i="1" s="1"/>
  <c r="H672" i="1"/>
  <c r="L672" i="1" s="1"/>
  <c r="H671" i="1"/>
  <c r="L671" i="1" s="1"/>
  <c r="H670" i="1"/>
  <c r="L670" i="1" s="1"/>
  <c r="H669" i="1"/>
  <c r="L669" i="1" s="1"/>
  <c r="H668" i="1"/>
  <c r="L668" i="1" s="1"/>
  <c r="H667" i="1"/>
  <c r="L667" i="1" s="1"/>
  <c r="H666" i="1"/>
  <c r="L666" i="1" s="1"/>
  <c r="H665" i="1"/>
  <c r="L665" i="1" s="1"/>
  <c r="H664" i="1"/>
  <c r="L664" i="1" s="1"/>
  <c r="H663" i="1"/>
  <c r="L663" i="1" s="1"/>
  <c r="H662" i="1"/>
  <c r="L662" i="1" s="1"/>
  <c r="H661" i="1"/>
  <c r="L661" i="1" s="1"/>
  <c r="H660" i="1"/>
  <c r="L660" i="1" s="1"/>
  <c r="H659" i="1"/>
  <c r="L659" i="1" s="1"/>
  <c r="H658" i="1"/>
  <c r="L658" i="1" s="1"/>
  <c r="H657" i="1"/>
  <c r="L657" i="1" s="1"/>
  <c r="H656" i="1"/>
  <c r="L656" i="1" s="1"/>
  <c r="H654" i="1"/>
  <c r="L654" i="1" s="1"/>
  <c r="H653" i="1"/>
  <c r="L653" i="1" s="1"/>
  <c r="H652" i="1"/>
  <c r="L652" i="1" s="1"/>
  <c r="H651" i="1"/>
  <c r="L651" i="1" s="1"/>
  <c r="H650" i="1"/>
  <c r="L650" i="1" s="1"/>
  <c r="H649" i="1"/>
  <c r="L649" i="1" s="1"/>
  <c r="H648" i="1"/>
  <c r="L648" i="1" s="1"/>
  <c r="H647" i="1"/>
  <c r="L647" i="1" s="1"/>
  <c r="H646" i="1"/>
  <c r="L646" i="1" s="1"/>
  <c r="H645" i="1"/>
  <c r="L645" i="1" s="1"/>
  <c r="H644" i="1"/>
  <c r="L644" i="1" s="1"/>
  <c r="H643" i="1"/>
  <c r="L643" i="1" s="1"/>
  <c r="H642" i="1"/>
  <c r="L642" i="1" s="1"/>
  <c r="H641" i="1"/>
  <c r="L641" i="1" s="1"/>
  <c r="H640" i="1"/>
  <c r="L640" i="1" s="1"/>
  <c r="H639" i="1"/>
  <c r="L639" i="1" s="1"/>
  <c r="H638" i="1"/>
  <c r="L638" i="1" s="1"/>
  <c r="H637" i="1"/>
  <c r="L637" i="1" s="1"/>
  <c r="H636" i="1"/>
  <c r="L636" i="1" s="1"/>
  <c r="H635" i="1"/>
  <c r="L635" i="1" s="1"/>
  <c r="H634" i="1"/>
  <c r="L634" i="1" s="1"/>
  <c r="H633" i="1"/>
  <c r="L633" i="1" s="1"/>
  <c r="H632" i="1"/>
  <c r="L632" i="1" s="1"/>
  <c r="H631" i="1"/>
  <c r="L631" i="1" s="1"/>
  <c r="H630" i="1"/>
  <c r="L630" i="1" s="1"/>
  <c r="H629" i="1"/>
  <c r="L629" i="1" s="1"/>
  <c r="H628" i="1"/>
  <c r="L628" i="1" s="1"/>
  <c r="H627" i="1"/>
  <c r="L627" i="1" s="1"/>
  <c r="H626" i="1"/>
  <c r="L626" i="1" s="1"/>
  <c r="H625" i="1"/>
  <c r="L625" i="1" s="1"/>
  <c r="H624" i="1"/>
  <c r="L624" i="1" s="1"/>
  <c r="H623" i="1"/>
  <c r="L623" i="1" s="1"/>
  <c r="H622" i="1"/>
  <c r="L622" i="1" s="1"/>
  <c r="H621" i="1"/>
  <c r="L621" i="1" s="1"/>
  <c r="H620" i="1"/>
  <c r="L620" i="1" s="1"/>
  <c r="H619" i="1"/>
  <c r="L619" i="1" s="1"/>
  <c r="H618" i="1"/>
  <c r="L618" i="1" s="1"/>
  <c r="H617" i="1"/>
  <c r="L617" i="1" s="1"/>
  <c r="H616" i="1"/>
  <c r="L616" i="1" s="1"/>
  <c r="H615" i="1"/>
  <c r="L615" i="1" s="1"/>
  <c r="H614" i="1"/>
  <c r="L614" i="1" s="1"/>
  <c r="H613" i="1"/>
  <c r="L613" i="1" s="1"/>
  <c r="H612" i="1"/>
  <c r="L612" i="1" s="1"/>
  <c r="H611" i="1"/>
  <c r="L611" i="1" s="1"/>
  <c r="H610" i="1"/>
  <c r="L610" i="1" s="1"/>
  <c r="H609" i="1"/>
  <c r="L609" i="1" s="1"/>
  <c r="H608" i="1"/>
  <c r="L608" i="1" s="1"/>
  <c r="H607" i="1"/>
  <c r="L607" i="1" s="1"/>
  <c r="H606" i="1"/>
  <c r="L606" i="1" s="1"/>
  <c r="H605" i="1"/>
  <c r="L605" i="1" s="1"/>
  <c r="H604" i="1"/>
  <c r="L604" i="1" s="1"/>
  <c r="H603" i="1"/>
  <c r="L603" i="1" s="1"/>
  <c r="H602" i="1"/>
  <c r="L602" i="1" s="1"/>
  <c r="H601" i="1"/>
  <c r="L601" i="1" s="1"/>
  <c r="H600" i="1"/>
  <c r="L600" i="1" s="1"/>
  <c r="H599" i="1"/>
  <c r="L599" i="1" s="1"/>
  <c r="H598" i="1"/>
  <c r="L598" i="1" s="1"/>
  <c r="H597" i="1"/>
  <c r="L597" i="1" s="1"/>
  <c r="H596" i="1"/>
  <c r="L596" i="1" s="1"/>
  <c r="H595" i="1"/>
  <c r="L595" i="1" s="1"/>
  <c r="H594" i="1"/>
  <c r="L594" i="1" s="1"/>
  <c r="H593" i="1"/>
  <c r="L593" i="1" s="1"/>
  <c r="H592" i="1"/>
  <c r="L592" i="1" s="1"/>
  <c r="H591" i="1"/>
  <c r="L591" i="1" s="1"/>
  <c r="H590" i="1"/>
  <c r="L590" i="1" s="1"/>
  <c r="H589" i="1"/>
  <c r="L589" i="1" s="1"/>
  <c r="H588" i="1"/>
  <c r="L588" i="1" s="1"/>
  <c r="H587" i="1"/>
  <c r="L587" i="1" s="1"/>
  <c r="H586" i="1"/>
  <c r="L586" i="1" s="1"/>
  <c r="H585" i="1"/>
  <c r="L585" i="1" s="1"/>
  <c r="H583" i="1"/>
  <c r="L583" i="1" s="1"/>
  <c r="H582" i="1"/>
  <c r="L582" i="1" s="1"/>
  <c r="H581" i="1"/>
  <c r="L581" i="1" s="1"/>
  <c r="H580" i="1"/>
  <c r="L580" i="1" s="1"/>
  <c r="H579" i="1"/>
  <c r="L579" i="1" s="1"/>
  <c r="H578" i="1"/>
  <c r="L578" i="1" s="1"/>
  <c r="H577" i="1"/>
  <c r="L577" i="1" s="1"/>
  <c r="H576" i="1"/>
  <c r="L576" i="1" s="1"/>
  <c r="H575" i="1"/>
  <c r="L575" i="1" s="1"/>
  <c r="H574" i="1"/>
  <c r="L574" i="1" s="1"/>
  <c r="H573" i="1"/>
  <c r="L573" i="1" s="1"/>
  <c r="H572" i="1"/>
  <c r="L572" i="1" s="1"/>
  <c r="H571" i="1"/>
  <c r="L571" i="1" s="1"/>
  <c r="H570" i="1"/>
  <c r="L570" i="1" s="1"/>
  <c r="H569" i="1"/>
  <c r="L569" i="1" s="1"/>
  <c r="H568" i="1"/>
  <c r="L568" i="1" s="1"/>
  <c r="H567" i="1"/>
  <c r="L567" i="1" s="1"/>
  <c r="H566" i="1"/>
  <c r="L566" i="1" s="1"/>
  <c r="H565" i="1"/>
  <c r="L565" i="1" s="1"/>
  <c r="H564" i="1"/>
  <c r="L564" i="1" s="1"/>
  <c r="H563" i="1"/>
  <c r="L563" i="1" s="1"/>
  <c r="H562" i="1"/>
  <c r="L562" i="1" s="1"/>
  <c r="H561" i="1"/>
  <c r="L561" i="1" s="1"/>
  <c r="H560" i="1"/>
  <c r="L560" i="1" s="1"/>
  <c r="H559" i="1"/>
  <c r="L559" i="1" s="1"/>
  <c r="H558" i="1"/>
  <c r="L558" i="1" s="1"/>
  <c r="H557" i="1"/>
  <c r="L557" i="1" s="1"/>
  <c r="H556" i="1"/>
  <c r="L556" i="1" s="1"/>
  <c r="H555" i="1"/>
  <c r="L555" i="1" s="1"/>
  <c r="H554" i="1"/>
  <c r="L554" i="1" s="1"/>
  <c r="H553" i="1"/>
  <c r="L553" i="1" s="1"/>
  <c r="H552" i="1"/>
  <c r="L552" i="1" s="1"/>
  <c r="H551" i="1"/>
  <c r="L551" i="1" s="1"/>
  <c r="H550" i="1"/>
  <c r="L550" i="1" s="1"/>
  <c r="H549" i="1"/>
  <c r="L549" i="1" s="1"/>
  <c r="H548" i="1"/>
  <c r="L548" i="1" s="1"/>
  <c r="H547" i="1"/>
  <c r="L547" i="1" s="1"/>
  <c r="H546" i="1"/>
  <c r="L546" i="1" s="1"/>
  <c r="H545" i="1"/>
  <c r="L545" i="1" s="1"/>
  <c r="H544" i="1"/>
  <c r="L544" i="1" s="1"/>
  <c r="H543" i="1"/>
  <c r="L543" i="1" s="1"/>
  <c r="H542" i="1"/>
  <c r="L542" i="1" s="1"/>
  <c r="H541" i="1"/>
  <c r="L541" i="1" s="1"/>
  <c r="H540" i="1"/>
  <c r="L540" i="1" s="1"/>
  <c r="H539" i="1"/>
  <c r="L539" i="1" s="1"/>
  <c r="H538" i="1"/>
  <c r="L538" i="1" s="1"/>
  <c r="H537" i="1"/>
  <c r="L537" i="1" s="1"/>
  <c r="H536" i="1"/>
  <c r="L536" i="1" s="1"/>
  <c r="H535" i="1"/>
  <c r="L535" i="1" s="1"/>
  <c r="H533" i="1"/>
  <c r="L533" i="1" s="1"/>
  <c r="H532" i="1"/>
  <c r="L532" i="1" s="1"/>
  <c r="H531" i="1"/>
  <c r="L531" i="1" s="1"/>
  <c r="H530" i="1"/>
  <c r="L530" i="1" s="1"/>
  <c r="H529" i="1"/>
  <c r="L529" i="1" s="1"/>
  <c r="H528" i="1"/>
  <c r="L528" i="1" s="1"/>
  <c r="H527" i="1"/>
  <c r="L527" i="1" s="1"/>
  <c r="H526" i="1"/>
  <c r="L526" i="1" s="1"/>
  <c r="H525" i="1"/>
  <c r="L525" i="1" s="1"/>
  <c r="H524" i="1"/>
  <c r="L524" i="1" s="1"/>
  <c r="H523" i="1"/>
  <c r="L523" i="1" s="1"/>
  <c r="H522" i="1"/>
  <c r="L522" i="1" s="1"/>
  <c r="H521" i="1"/>
  <c r="L521" i="1" s="1"/>
  <c r="H520" i="1"/>
  <c r="L520" i="1" s="1"/>
  <c r="H519" i="1"/>
  <c r="L519" i="1" s="1"/>
  <c r="H518" i="1"/>
  <c r="L518" i="1" s="1"/>
  <c r="H517" i="1"/>
  <c r="L517" i="1" s="1"/>
  <c r="H516" i="1"/>
  <c r="L516" i="1" s="1"/>
  <c r="H515" i="1"/>
  <c r="L515" i="1" s="1"/>
  <c r="H514" i="1"/>
  <c r="L514" i="1" s="1"/>
  <c r="H513" i="1"/>
  <c r="L513" i="1" s="1"/>
  <c r="H512" i="1"/>
  <c r="L512" i="1" s="1"/>
  <c r="H511" i="1"/>
  <c r="L511" i="1" s="1"/>
  <c r="H510" i="1"/>
  <c r="L510" i="1" s="1"/>
  <c r="H509" i="1"/>
  <c r="L509" i="1" s="1"/>
  <c r="H508" i="1"/>
  <c r="L508" i="1" s="1"/>
  <c r="H507" i="1"/>
  <c r="L507" i="1" s="1"/>
  <c r="H506" i="1"/>
  <c r="L506" i="1" s="1"/>
  <c r="H505" i="1"/>
  <c r="L505" i="1" s="1"/>
  <c r="H504" i="1"/>
  <c r="L504" i="1" s="1"/>
  <c r="H503" i="1"/>
  <c r="L503" i="1" s="1"/>
  <c r="H502" i="1"/>
  <c r="L502" i="1" s="1"/>
  <c r="H501" i="1"/>
  <c r="L501" i="1" s="1"/>
  <c r="H500" i="1"/>
  <c r="L500" i="1" s="1"/>
  <c r="H499" i="1"/>
  <c r="L499" i="1" s="1"/>
  <c r="H498" i="1"/>
  <c r="L498" i="1" s="1"/>
  <c r="H497" i="1"/>
  <c r="L497" i="1" s="1"/>
  <c r="H496" i="1"/>
  <c r="L496" i="1" s="1"/>
  <c r="H495" i="1"/>
  <c r="L495" i="1" s="1"/>
  <c r="H494" i="1"/>
  <c r="L494" i="1" s="1"/>
  <c r="H493" i="1"/>
  <c r="L493" i="1" s="1"/>
  <c r="H492" i="1"/>
  <c r="L492" i="1" s="1"/>
  <c r="H491" i="1"/>
  <c r="L491" i="1" s="1"/>
  <c r="H490" i="1"/>
  <c r="L490" i="1" s="1"/>
  <c r="H489" i="1"/>
  <c r="L489" i="1" s="1"/>
  <c r="H488" i="1"/>
  <c r="L488" i="1" s="1"/>
  <c r="H487" i="1"/>
  <c r="L487" i="1" s="1"/>
  <c r="H486" i="1"/>
  <c r="L486" i="1" s="1"/>
  <c r="H485" i="1"/>
  <c r="L485" i="1" s="1"/>
  <c r="H484" i="1"/>
  <c r="L484" i="1" s="1"/>
  <c r="H483" i="1"/>
  <c r="L483" i="1" s="1"/>
  <c r="H482" i="1"/>
  <c r="L482" i="1" s="1"/>
  <c r="H481" i="1"/>
  <c r="L481" i="1" s="1"/>
  <c r="H480" i="1"/>
  <c r="L480" i="1" s="1"/>
  <c r="H479" i="1"/>
  <c r="L479" i="1" s="1"/>
  <c r="H478" i="1"/>
  <c r="L478" i="1" s="1"/>
  <c r="H477" i="1"/>
  <c r="L477" i="1" s="1"/>
  <c r="H476" i="1"/>
  <c r="L476" i="1" s="1"/>
  <c r="H475" i="1"/>
  <c r="L475" i="1" s="1"/>
  <c r="H474" i="1"/>
  <c r="L474" i="1" s="1"/>
  <c r="H473" i="1"/>
  <c r="L473" i="1" s="1"/>
  <c r="H472" i="1"/>
  <c r="L472" i="1" s="1"/>
  <c r="H471" i="1"/>
  <c r="L471" i="1" s="1"/>
  <c r="H470" i="1"/>
  <c r="L470" i="1" s="1"/>
  <c r="H469" i="1"/>
  <c r="L469" i="1" s="1"/>
  <c r="H468" i="1"/>
  <c r="L468" i="1" s="1"/>
  <c r="H467" i="1"/>
  <c r="L467" i="1" s="1"/>
  <c r="H466" i="1"/>
  <c r="L466" i="1" s="1"/>
  <c r="H465" i="1"/>
  <c r="L465" i="1" s="1"/>
  <c r="H464" i="1"/>
  <c r="L464" i="1" s="1"/>
  <c r="H463" i="1"/>
  <c r="L463" i="1" s="1"/>
  <c r="H462" i="1"/>
  <c r="L462" i="1" s="1"/>
  <c r="H461" i="1"/>
  <c r="L461" i="1" s="1"/>
  <c r="H460" i="1"/>
  <c r="L460" i="1" s="1"/>
  <c r="H459" i="1"/>
  <c r="L459" i="1" s="1"/>
  <c r="H458" i="1"/>
  <c r="L458" i="1" s="1"/>
  <c r="H457" i="1"/>
  <c r="L457" i="1" s="1"/>
  <c r="H456" i="1"/>
  <c r="L456" i="1" s="1"/>
  <c r="H455" i="1"/>
  <c r="L455" i="1" s="1"/>
  <c r="H454" i="1"/>
  <c r="L454" i="1" s="1"/>
  <c r="H453" i="1"/>
  <c r="L453" i="1" s="1"/>
  <c r="H452" i="1"/>
  <c r="L452" i="1" s="1"/>
  <c r="H451" i="1"/>
  <c r="L451" i="1" s="1"/>
  <c r="H450" i="1"/>
  <c r="L450" i="1" s="1"/>
  <c r="H449" i="1"/>
  <c r="L449" i="1" s="1"/>
  <c r="H448" i="1"/>
  <c r="L448" i="1" s="1"/>
  <c r="H447" i="1"/>
  <c r="L447" i="1" s="1"/>
  <c r="H446" i="1"/>
  <c r="L446" i="1" s="1"/>
  <c r="H445" i="1"/>
  <c r="L445" i="1" s="1"/>
  <c r="H444" i="1"/>
  <c r="L444" i="1" s="1"/>
  <c r="H443" i="1"/>
  <c r="L443" i="1" s="1"/>
  <c r="H442" i="1"/>
  <c r="L442" i="1" s="1"/>
  <c r="H441" i="1"/>
  <c r="L441" i="1" s="1"/>
  <c r="H440" i="1"/>
  <c r="L440" i="1" s="1"/>
  <c r="H439" i="1"/>
  <c r="L439" i="1" s="1"/>
  <c r="H438" i="1"/>
  <c r="L438" i="1" s="1"/>
  <c r="H437" i="1"/>
  <c r="L437" i="1" s="1"/>
  <c r="H436" i="1"/>
  <c r="L436" i="1" s="1"/>
  <c r="H435" i="1"/>
  <c r="L435" i="1" s="1"/>
  <c r="H434" i="1"/>
  <c r="L434" i="1" s="1"/>
  <c r="H433" i="1"/>
  <c r="L433" i="1" s="1"/>
  <c r="H432" i="1"/>
  <c r="L432" i="1" s="1"/>
  <c r="H431" i="1"/>
  <c r="L431" i="1" s="1"/>
  <c r="H430" i="1"/>
  <c r="L430" i="1" s="1"/>
  <c r="H429" i="1"/>
  <c r="L429" i="1" s="1"/>
  <c r="H428" i="1"/>
  <c r="L428" i="1" s="1"/>
  <c r="H427" i="1"/>
  <c r="L427" i="1" s="1"/>
  <c r="H426" i="1"/>
  <c r="L426" i="1" s="1"/>
  <c r="H425" i="1"/>
  <c r="L425" i="1" s="1"/>
  <c r="H424" i="1"/>
  <c r="L424" i="1" s="1"/>
  <c r="H423" i="1"/>
  <c r="L423" i="1" s="1"/>
  <c r="H422" i="1"/>
  <c r="L422" i="1" s="1"/>
  <c r="H421" i="1"/>
  <c r="L421" i="1" s="1"/>
  <c r="H420" i="1"/>
  <c r="L420" i="1" s="1"/>
  <c r="H419" i="1"/>
  <c r="L419" i="1" s="1"/>
  <c r="H418" i="1"/>
  <c r="L418" i="1" s="1"/>
  <c r="H417" i="1"/>
  <c r="L417" i="1" s="1"/>
  <c r="H416" i="1"/>
  <c r="L416" i="1" s="1"/>
  <c r="H415" i="1"/>
  <c r="L415" i="1" s="1"/>
  <c r="H414" i="1"/>
  <c r="L414" i="1" s="1"/>
  <c r="H413" i="1"/>
  <c r="L413" i="1" s="1"/>
  <c r="H412" i="1"/>
  <c r="L412" i="1" s="1"/>
  <c r="H411" i="1"/>
  <c r="L411" i="1" s="1"/>
  <c r="H410" i="1"/>
  <c r="L410" i="1" s="1"/>
  <c r="H409" i="1"/>
  <c r="L409" i="1" s="1"/>
  <c r="H408" i="1"/>
  <c r="L408" i="1" s="1"/>
  <c r="H407" i="1"/>
  <c r="L407" i="1" s="1"/>
  <c r="H406" i="1"/>
  <c r="L406" i="1" s="1"/>
  <c r="H405" i="1"/>
  <c r="L405" i="1" s="1"/>
  <c r="H404" i="1"/>
  <c r="L404" i="1" s="1"/>
  <c r="H403" i="1"/>
  <c r="L403" i="1" s="1"/>
  <c r="H402" i="1"/>
  <c r="L402" i="1" s="1"/>
  <c r="H401" i="1"/>
  <c r="L401" i="1" s="1"/>
  <c r="H400" i="1"/>
  <c r="L400" i="1" s="1"/>
  <c r="H399" i="1"/>
  <c r="L399" i="1" s="1"/>
  <c r="H398" i="1"/>
  <c r="L398" i="1" s="1"/>
  <c r="H397" i="1"/>
  <c r="L397" i="1" s="1"/>
  <c r="H396" i="1"/>
  <c r="L396" i="1" s="1"/>
  <c r="H395" i="1"/>
  <c r="L395" i="1" s="1"/>
  <c r="H394" i="1"/>
  <c r="L394" i="1" s="1"/>
  <c r="H393" i="1"/>
  <c r="L393" i="1" s="1"/>
  <c r="H392" i="1"/>
  <c r="L392" i="1" s="1"/>
  <c r="H391" i="1"/>
  <c r="L391" i="1" s="1"/>
  <c r="H390" i="1"/>
  <c r="L390" i="1" s="1"/>
  <c r="H389" i="1"/>
  <c r="L389" i="1" s="1"/>
  <c r="H388" i="1"/>
  <c r="L388" i="1" s="1"/>
  <c r="H387" i="1"/>
  <c r="L387" i="1" s="1"/>
  <c r="H386" i="1"/>
  <c r="L386" i="1" s="1"/>
  <c r="H385" i="1"/>
  <c r="L385" i="1" s="1"/>
  <c r="H384" i="1"/>
  <c r="L384" i="1" s="1"/>
  <c r="H383" i="1"/>
  <c r="L383" i="1" s="1"/>
  <c r="H382" i="1"/>
  <c r="L382" i="1" s="1"/>
  <c r="H381" i="1"/>
  <c r="L381" i="1" s="1"/>
  <c r="H380" i="1"/>
  <c r="L380" i="1" s="1"/>
  <c r="H379" i="1"/>
  <c r="L379" i="1" s="1"/>
  <c r="H378" i="1"/>
  <c r="L378" i="1" s="1"/>
  <c r="H377" i="1"/>
  <c r="L377" i="1" s="1"/>
  <c r="H376" i="1"/>
  <c r="L376" i="1" s="1"/>
  <c r="H375" i="1"/>
  <c r="L375" i="1" s="1"/>
  <c r="H374" i="1"/>
  <c r="L374" i="1" s="1"/>
  <c r="H373" i="1"/>
  <c r="L373" i="1" s="1"/>
  <c r="H372" i="1"/>
  <c r="L372" i="1" s="1"/>
  <c r="H371" i="1"/>
  <c r="L371" i="1" s="1"/>
  <c r="H370" i="1"/>
  <c r="L370" i="1" s="1"/>
  <c r="H369" i="1"/>
  <c r="L369" i="1" s="1"/>
  <c r="H368" i="1"/>
  <c r="L368" i="1" s="1"/>
  <c r="H367" i="1"/>
  <c r="L367" i="1" s="1"/>
  <c r="H366" i="1"/>
  <c r="L366" i="1" s="1"/>
  <c r="H365" i="1"/>
  <c r="L365" i="1" s="1"/>
  <c r="H364" i="1"/>
  <c r="L364" i="1" s="1"/>
  <c r="H363" i="1"/>
  <c r="L363" i="1" s="1"/>
  <c r="H362" i="1"/>
  <c r="L362" i="1" s="1"/>
  <c r="H361" i="1"/>
  <c r="L361" i="1" s="1"/>
  <c r="H360" i="1"/>
  <c r="L360" i="1" s="1"/>
  <c r="H359" i="1"/>
  <c r="L359" i="1" s="1"/>
  <c r="H358" i="1"/>
  <c r="L358" i="1" s="1"/>
  <c r="H357" i="1"/>
  <c r="L357" i="1" s="1"/>
  <c r="H356" i="1"/>
  <c r="L356" i="1" s="1"/>
  <c r="H355" i="1"/>
  <c r="L355" i="1" s="1"/>
  <c r="H354" i="1"/>
  <c r="L354" i="1" s="1"/>
  <c r="H353" i="1"/>
  <c r="L353" i="1" s="1"/>
  <c r="H352" i="1"/>
  <c r="L352" i="1" s="1"/>
  <c r="H351" i="1"/>
  <c r="L351" i="1" s="1"/>
  <c r="H350" i="1"/>
  <c r="L350" i="1" s="1"/>
  <c r="H349" i="1"/>
  <c r="L349" i="1" s="1"/>
  <c r="H348" i="1"/>
  <c r="L348" i="1" s="1"/>
  <c r="H347" i="1"/>
  <c r="L347" i="1" s="1"/>
  <c r="H346" i="1"/>
  <c r="L346" i="1" s="1"/>
  <c r="H345" i="1"/>
  <c r="L345" i="1" s="1"/>
  <c r="H344" i="1"/>
  <c r="L344" i="1" s="1"/>
  <c r="H343" i="1"/>
  <c r="L343" i="1" s="1"/>
  <c r="H342" i="1"/>
  <c r="L342" i="1" s="1"/>
  <c r="H341" i="1"/>
  <c r="L341" i="1" s="1"/>
  <c r="H340" i="1"/>
  <c r="L340" i="1" s="1"/>
  <c r="H339" i="1"/>
  <c r="L339" i="1" s="1"/>
  <c r="H338" i="1"/>
  <c r="L338" i="1" s="1"/>
  <c r="H337" i="1"/>
  <c r="L337" i="1" s="1"/>
  <c r="H336" i="1"/>
  <c r="L336" i="1" s="1"/>
  <c r="H335" i="1"/>
  <c r="L335" i="1" s="1"/>
  <c r="H334" i="1"/>
  <c r="L334" i="1" s="1"/>
  <c r="H333" i="1"/>
  <c r="L333" i="1" s="1"/>
  <c r="H332" i="1"/>
  <c r="L332" i="1" s="1"/>
  <c r="H331" i="1"/>
  <c r="L331" i="1" s="1"/>
  <c r="H330" i="1"/>
  <c r="L330" i="1" s="1"/>
  <c r="H329" i="1"/>
  <c r="L329" i="1" s="1"/>
  <c r="H328" i="1"/>
  <c r="L328" i="1" s="1"/>
  <c r="H327" i="1"/>
  <c r="L327" i="1" s="1"/>
  <c r="H326" i="1"/>
  <c r="L326" i="1" s="1"/>
  <c r="H325" i="1"/>
  <c r="L325" i="1" s="1"/>
  <c r="H324" i="1"/>
  <c r="L324" i="1" s="1"/>
  <c r="H323" i="1"/>
  <c r="L323" i="1" s="1"/>
  <c r="H322" i="1"/>
  <c r="L322" i="1" s="1"/>
  <c r="H321" i="1"/>
  <c r="L321" i="1" s="1"/>
  <c r="H320" i="1"/>
  <c r="L320" i="1" s="1"/>
  <c r="H319" i="1"/>
  <c r="L319" i="1" s="1"/>
  <c r="H318" i="1"/>
  <c r="L318" i="1" s="1"/>
  <c r="H316" i="1"/>
  <c r="L316" i="1" s="1"/>
  <c r="H315" i="1"/>
  <c r="L315" i="1" s="1"/>
  <c r="H314" i="1"/>
  <c r="L314" i="1" s="1"/>
  <c r="H313" i="1"/>
  <c r="L313" i="1" s="1"/>
  <c r="H312" i="1"/>
  <c r="L312" i="1" s="1"/>
  <c r="H311" i="1"/>
  <c r="L311" i="1" s="1"/>
  <c r="H310" i="1"/>
  <c r="L310" i="1" s="1"/>
  <c r="H309" i="1"/>
  <c r="L309" i="1" s="1"/>
  <c r="H308" i="1"/>
  <c r="L308" i="1" s="1"/>
  <c r="H307" i="1"/>
  <c r="L307" i="1" s="1"/>
  <c r="H306" i="1"/>
  <c r="L306" i="1" s="1"/>
  <c r="H305" i="1"/>
  <c r="L305" i="1" s="1"/>
  <c r="H304" i="1"/>
  <c r="L304" i="1" s="1"/>
  <c r="H303" i="1"/>
  <c r="L303" i="1" s="1"/>
  <c r="H302" i="1"/>
  <c r="L302" i="1" s="1"/>
  <c r="H301" i="1"/>
  <c r="L301" i="1" s="1"/>
  <c r="H300" i="1"/>
  <c r="L300" i="1" s="1"/>
  <c r="H299" i="1"/>
  <c r="L299" i="1" s="1"/>
  <c r="H298" i="1"/>
  <c r="L298" i="1" s="1"/>
  <c r="H297" i="1"/>
  <c r="L297" i="1" s="1"/>
  <c r="H296" i="1"/>
  <c r="L296" i="1" s="1"/>
  <c r="H295" i="1"/>
  <c r="L295" i="1" s="1"/>
  <c r="H293" i="1"/>
  <c r="L293" i="1" s="1"/>
  <c r="H292" i="1"/>
  <c r="L292" i="1" s="1"/>
  <c r="H291" i="1"/>
  <c r="L291" i="1" s="1"/>
  <c r="H290" i="1"/>
  <c r="L290" i="1" s="1"/>
  <c r="H289" i="1"/>
  <c r="L289" i="1" s="1"/>
  <c r="H288" i="1"/>
  <c r="L288" i="1" s="1"/>
  <c r="H287" i="1"/>
  <c r="L287" i="1" s="1"/>
  <c r="H286" i="1"/>
  <c r="L286" i="1" s="1"/>
  <c r="H285" i="1"/>
  <c r="L285" i="1" s="1"/>
  <c r="H284" i="1"/>
  <c r="L284" i="1" s="1"/>
  <c r="H283" i="1"/>
  <c r="L283" i="1" s="1"/>
  <c r="H282" i="1"/>
  <c r="L282" i="1" s="1"/>
  <c r="H281" i="1"/>
  <c r="L281" i="1" s="1"/>
  <c r="H280" i="1"/>
  <c r="L280" i="1" s="1"/>
  <c r="H279" i="1"/>
  <c r="L279" i="1" s="1"/>
  <c r="H277" i="1"/>
  <c r="L277" i="1" s="1"/>
  <c r="H276" i="1"/>
  <c r="L276" i="1" s="1"/>
  <c r="H275" i="1"/>
  <c r="L275" i="1" s="1"/>
  <c r="H274" i="1"/>
  <c r="L274" i="1" s="1"/>
  <c r="H272" i="1"/>
  <c r="L272" i="1" s="1"/>
  <c r="H270" i="1"/>
  <c r="L270" i="1" s="1"/>
  <c r="H268" i="1"/>
  <c r="L268" i="1" s="1"/>
  <c r="H267" i="1"/>
  <c r="L267" i="1" s="1"/>
  <c r="H266" i="1"/>
  <c r="L266" i="1" s="1"/>
  <c r="H265" i="1"/>
  <c r="L265" i="1" s="1"/>
  <c r="H264" i="1"/>
  <c r="L264" i="1" s="1"/>
  <c r="H263" i="1"/>
  <c r="L263" i="1" s="1"/>
  <c r="H262" i="1"/>
  <c r="L262" i="1" s="1"/>
  <c r="H261" i="1"/>
  <c r="L261" i="1" s="1"/>
  <c r="H260" i="1"/>
  <c r="L260" i="1" s="1"/>
  <c r="H259" i="1"/>
  <c r="L259" i="1" s="1"/>
  <c r="H258" i="1"/>
  <c r="L258" i="1" s="1"/>
  <c r="H257" i="1"/>
  <c r="L257" i="1" s="1"/>
  <c r="H256" i="1"/>
  <c r="L256" i="1" s="1"/>
  <c r="H255" i="1"/>
  <c r="L255" i="1" s="1"/>
  <c r="H254" i="1"/>
  <c r="L254" i="1" s="1"/>
  <c r="H253" i="1"/>
  <c r="L253" i="1" s="1"/>
  <c r="H252" i="1"/>
  <c r="L252" i="1" s="1"/>
  <c r="H251" i="1"/>
  <c r="L251" i="1" s="1"/>
  <c r="H250" i="1"/>
  <c r="L250" i="1" s="1"/>
  <c r="H249" i="1"/>
  <c r="L249" i="1" s="1"/>
  <c r="H248" i="1"/>
  <c r="L248" i="1" s="1"/>
  <c r="H247" i="1"/>
  <c r="L247" i="1" s="1"/>
  <c r="H245" i="1"/>
  <c r="L245" i="1" s="1"/>
  <c r="H244" i="1"/>
  <c r="L244" i="1" s="1"/>
  <c r="H242" i="1"/>
  <c r="L242" i="1" s="1"/>
  <c r="H241" i="1"/>
  <c r="L241" i="1" s="1"/>
  <c r="H240" i="1"/>
  <c r="L240" i="1" s="1"/>
  <c r="H239" i="1"/>
  <c r="L239" i="1" s="1"/>
  <c r="H238" i="1"/>
  <c r="L238" i="1" s="1"/>
  <c r="H237" i="1"/>
  <c r="L237" i="1" s="1"/>
  <c r="H236" i="1"/>
  <c r="L236" i="1" s="1"/>
  <c r="H235" i="1"/>
  <c r="L235" i="1" s="1"/>
  <c r="H234" i="1"/>
  <c r="L234" i="1" s="1"/>
  <c r="H233" i="1"/>
  <c r="L233" i="1" s="1"/>
  <c r="H232" i="1"/>
  <c r="L232" i="1" s="1"/>
  <c r="H231" i="1"/>
  <c r="L231" i="1" s="1"/>
  <c r="H230" i="1"/>
  <c r="L230" i="1" s="1"/>
  <c r="H229" i="1"/>
  <c r="L229" i="1" s="1"/>
  <c r="H228" i="1"/>
  <c r="L228" i="1" s="1"/>
  <c r="H227" i="1"/>
  <c r="L227" i="1" s="1"/>
  <c r="H226" i="1"/>
  <c r="L226" i="1" s="1"/>
  <c r="H225" i="1"/>
  <c r="L225" i="1" s="1"/>
  <c r="H224" i="1"/>
  <c r="L224" i="1" s="1"/>
  <c r="H223" i="1"/>
  <c r="L223" i="1" s="1"/>
  <c r="H222" i="1"/>
  <c r="L222" i="1" s="1"/>
  <c r="H221" i="1"/>
  <c r="L221" i="1" s="1"/>
  <c r="H220" i="1"/>
  <c r="L220" i="1" s="1"/>
  <c r="H219" i="1"/>
  <c r="L219" i="1" s="1"/>
  <c r="H218" i="1"/>
  <c r="L218" i="1" s="1"/>
  <c r="H217" i="1"/>
  <c r="L217" i="1" s="1"/>
  <c r="H216" i="1"/>
  <c r="L216" i="1" s="1"/>
  <c r="H215" i="1"/>
  <c r="L215" i="1" s="1"/>
  <c r="H214" i="1"/>
  <c r="L214" i="1" s="1"/>
  <c r="H213" i="1"/>
  <c r="L213" i="1" s="1"/>
  <c r="H212" i="1"/>
  <c r="L212" i="1" s="1"/>
  <c r="H211" i="1"/>
  <c r="L211" i="1" s="1"/>
  <c r="H210" i="1"/>
  <c r="L210" i="1" s="1"/>
  <c r="H209" i="1"/>
  <c r="L209" i="1" s="1"/>
  <c r="H208" i="1"/>
  <c r="L208" i="1" s="1"/>
  <c r="H207" i="1"/>
  <c r="L207" i="1" s="1"/>
  <c r="H206" i="1"/>
  <c r="L206" i="1" s="1"/>
  <c r="H205" i="1"/>
  <c r="L205" i="1" s="1"/>
  <c r="H204" i="1"/>
  <c r="L204" i="1" s="1"/>
  <c r="H202" i="1"/>
  <c r="L202" i="1" s="1"/>
  <c r="H201" i="1"/>
  <c r="L201" i="1" s="1"/>
  <c r="H200" i="1"/>
  <c r="L200" i="1" s="1"/>
  <c r="H199" i="1"/>
  <c r="L199" i="1" s="1"/>
  <c r="H198" i="1"/>
  <c r="L198" i="1" s="1"/>
  <c r="H197" i="1"/>
  <c r="L197" i="1" s="1"/>
  <c r="H196" i="1"/>
  <c r="L196" i="1" s="1"/>
  <c r="H195" i="1"/>
  <c r="L195" i="1" s="1"/>
  <c r="H194" i="1"/>
  <c r="L194" i="1" s="1"/>
  <c r="H193" i="1"/>
  <c r="L193" i="1" s="1"/>
  <c r="H192" i="1"/>
  <c r="L192" i="1" s="1"/>
  <c r="H191" i="1"/>
  <c r="L191" i="1" s="1"/>
  <c r="H190" i="1"/>
  <c r="L190" i="1" s="1"/>
  <c r="H189" i="1"/>
  <c r="L189" i="1" s="1"/>
  <c r="H188" i="1"/>
  <c r="L188" i="1" s="1"/>
  <c r="H187" i="1"/>
  <c r="L187" i="1" s="1"/>
  <c r="H186" i="1"/>
  <c r="L186" i="1" s="1"/>
  <c r="H185" i="1"/>
  <c r="L185" i="1" s="1"/>
  <c r="H184" i="1"/>
  <c r="L184" i="1" s="1"/>
  <c r="H183" i="1"/>
  <c r="L183" i="1" s="1"/>
  <c r="H182" i="1"/>
  <c r="L182" i="1" s="1"/>
  <c r="H181" i="1"/>
  <c r="L181" i="1" s="1"/>
  <c r="H180" i="1"/>
  <c r="L180" i="1" s="1"/>
  <c r="H179" i="1"/>
  <c r="L179" i="1" s="1"/>
  <c r="H178" i="1"/>
  <c r="L178" i="1" s="1"/>
  <c r="H177" i="1"/>
  <c r="L177" i="1" s="1"/>
  <c r="H176" i="1"/>
  <c r="L176" i="1" s="1"/>
  <c r="H175" i="1"/>
  <c r="L175" i="1" s="1"/>
  <c r="H174" i="1"/>
  <c r="L174" i="1" s="1"/>
  <c r="H173" i="1"/>
  <c r="L173" i="1" s="1"/>
  <c r="H172" i="1"/>
  <c r="L172" i="1" s="1"/>
  <c r="H171" i="1"/>
  <c r="L171" i="1" s="1"/>
  <c r="H170" i="1"/>
  <c r="L170" i="1" s="1"/>
  <c r="H169" i="1"/>
  <c r="L169" i="1" s="1"/>
  <c r="H168" i="1"/>
  <c r="L168" i="1" s="1"/>
  <c r="H167" i="1"/>
  <c r="L167" i="1" s="1"/>
  <c r="H166" i="1"/>
  <c r="L166" i="1" s="1"/>
  <c r="H165" i="1"/>
  <c r="L165" i="1" s="1"/>
  <c r="H164" i="1"/>
  <c r="L164" i="1" s="1"/>
  <c r="H163" i="1"/>
  <c r="L163" i="1" s="1"/>
  <c r="H162" i="1"/>
  <c r="L162" i="1" s="1"/>
  <c r="H161" i="1"/>
  <c r="L161" i="1" s="1"/>
  <c r="H160" i="1"/>
  <c r="L160" i="1" s="1"/>
  <c r="H159" i="1"/>
  <c r="L159" i="1" s="1"/>
  <c r="H158" i="1"/>
  <c r="L158" i="1" s="1"/>
  <c r="H157" i="1"/>
  <c r="L157" i="1" s="1"/>
  <c r="H156" i="1"/>
  <c r="L156" i="1" s="1"/>
  <c r="H155" i="1"/>
  <c r="L155" i="1" s="1"/>
  <c r="H154" i="1"/>
  <c r="L154" i="1" s="1"/>
  <c r="H153" i="1"/>
  <c r="L153" i="1" s="1"/>
  <c r="H152" i="1"/>
  <c r="L152" i="1" s="1"/>
  <c r="H151" i="1"/>
  <c r="L151" i="1" s="1"/>
  <c r="H150" i="1"/>
  <c r="L150" i="1" s="1"/>
  <c r="H149" i="1"/>
  <c r="L149" i="1" s="1"/>
  <c r="H148" i="1"/>
  <c r="L148" i="1" s="1"/>
  <c r="H147" i="1"/>
  <c r="L147" i="1" s="1"/>
  <c r="H146" i="1"/>
  <c r="L146" i="1" s="1"/>
  <c r="H145" i="1"/>
  <c r="L145" i="1" s="1"/>
  <c r="H144" i="1"/>
  <c r="L144" i="1" s="1"/>
  <c r="H143" i="1"/>
  <c r="L143" i="1" s="1"/>
  <c r="H142" i="1"/>
  <c r="L142" i="1" s="1"/>
  <c r="H141" i="1"/>
  <c r="L141" i="1" s="1"/>
  <c r="H140" i="1"/>
  <c r="L140" i="1" s="1"/>
  <c r="H139" i="1"/>
  <c r="L139" i="1" s="1"/>
  <c r="H138" i="1"/>
  <c r="L138" i="1" s="1"/>
  <c r="H137" i="1"/>
  <c r="L137" i="1" s="1"/>
  <c r="H136" i="1"/>
  <c r="L136" i="1" s="1"/>
  <c r="H135" i="1"/>
  <c r="L135" i="1" s="1"/>
  <c r="H134" i="1"/>
  <c r="L134" i="1" s="1"/>
  <c r="H133" i="1"/>
  <c r="L133" i="1" s="1"/>
  <c r="H132" i="1"/>
  <c r="L132" i="1" s="1"/>
  <c r="H131" i="1"/>
  <c r="L131" i="1" s="1"/>
  <c r="H130" i="1"/>
  <c r="L130" i="1" s="1"/>
  <c r="H129" i="1"/>
  <c r="L129" i="1" s="1"/>
  <c r="H128" i="1"/>
  <c r="L128" i="1" s="1"/>
  <c r="H127" i="1"/>
  <c r="L127" i="1" s="1"/>
  <c r="H126" i="1"/>
  <c r="L126" i="1" s="1"/>
  <c r="H125" i="1"/>
  <c r="L125" i="1" s="1"/>
  <c r="H124" i="1"/>
  <c r="L124" i="1" s="1"/>
  <c r="H123" i="1"/>
  <c r="L123" i="1" s="1"/>
  <c r="H122" i="1"/>
  <c r="L122" i="1" s="1"/>
  <c r="H121" i="1"/>
  <c r="L121" i="1" s="1"/>
  <c r="H120" i="1"/>
  <c r="L120" i="1" s="1"/>
  <c r="H119" i="1"/>
  <c r="L119" i="1" s="1"/>
  <c r="H118" i="1"/>
  <c r="L118" i="1" s="1"/>
  <c r="H117" i="1"/>
  <c r="L117" i="1" s="1"/>
  <c r="H116" i="1"/>
  <c r="L116" i="1" s="1"/>
  <c r="H115" i="1"/>
  <c r="L115" i="1" s="1"/>
  <c r="H114" i="1"/>
  <c r="L114" i="1" s="1"/>
  <c r="H113" i="1"/>
  <c r="L113" i="1" s="1"/>
  <c r="H112" i="1"/>
  <c r="L112" i="1" s="1"/>
  <c r="H111" i="1"/>
  <c r="L111" i="1" s="1"/>
  <c r="H110" i="1"/>
  <c r="L110" i="1" s="1"/>
  <c r="H109" i="1"/>
  <c r="L109" i="1" s="1"/>
  <c r="H108" i="1"/>
  <c r="L108" i="1" s="1"/>
  <c r="H107" i="1"/>
  <c r="L107" i="1" s="1"/>
  <c r="H106" i="1"/>
  <c r="L106" i="1" s="1"/>
  <c r="H105" i="1"/>
  <c r="L105" i="1" s="1"/>
  <c r="H104" i="1"/>
  <c r="L104" i="1" s="1"/>
  <c r="H103" i="1"/>
  <c r="L103" i="1" s="1"/>
  <c r="H102" i="1"/>
  <c r="L102" i="1" s="1"/>
  <c r="H101" i="1"/>
  <c r="L101" i="1" s="1"/>
  <c r="H100" i="1"/>
  <c r="L100" i="1" s="1"/>
  <c r="H99" i="1"/>
  <c r="L99" i="1" s="1"/>
  <c r="H98" i="1"/>
  <c r="L98" i="1" s="1"/>
  <c r="H97" i="1"/>
  <c r="L97" i="1" s="1"/>
  <c r="H96" i="1"/>
  <c r="L96" i="1" s="1"/>
  <c r="H95" i="1"/>
  <c r="L95" i="1" s="1"/>
  <c r="H94" i="1"/>
  <c r="L94" i="1" s="1"/>
  <c r="H93" i="1"/>
  <c r="L93" i="1" s="1"/>
  <c r="H92" i="1"/>
  <c r="L92" i="1" s="1"/>
  <c r="H91" i="1"/>
  <c r="L91" i="1" s="1"/>
  <c r="H90" i="1"/>
  <c r="L90" i="1" s="1"/>
  <c r="H89" i="1"/>
  <c r="L89" i="1" s="1"/>
  <c r="H88" i="1"/>
  <c r="L88" i="1" s="1"/>
  <c r="H87" i="1"/>
  <c r="L87" i="1" s="1"/>
  <c r="H86" i="1"/>
  <c r="L86" i="1" s="1"/>
  <c r="H85" i="1"/>
  <c r="L85" i="1" s="1"/>
  <c r="H84" i="1"/>
  <c r="L84" i="1" s="1"/>
  <c r="H83" i="1"/>
  <c r="L83" i="1" s="1"/>
  <c r="H82" i="1"/>
  <c r="L82" i="1" s="1"/>
  <c r="H81" i="1"/>
  <c r="L81" i="1" s="1"/>
  <c r="H80" i="1"/>
  <c r="L80" i="1" s="1"/>
  <c r="H79" i="1"/>
  <c r="L79" i="1" s="1"/>
  <c r="H78" i="1"/>
  <c r="L78" i="1" s="1"/>
  <c r="H77" i="1"/>
  <c r="L77" i="1" s="1"/>
  <c r="H76" i="1"/>
  <c r="L76" i="1" s="1"/>
  <c r="H75" i="1"/>
  <c r="L75" i="1" s="1"/>
  <c r="H74" i="1"/>
  <c r="L74" i="1" s="1"/>
  <c r="H73" i="1"/>
  <c r="L73" i="1" s="1"/>
  <c r="H72" i="1"/>
  <c r="L72" i="1" s="1"/>
  <c r="H71" i="1"/>
  <c r="L71" i="1" s="1"/>
  <c r="H70" i="1"/>
  <c r="L70" i="1" s="1"/>
  <c r="H69" i="1"/>
  <c r="L69" i="1" s="1"/>
  <c r="H68" i="1"/>
  <c r="L68" i="1" s="1"/>
  <c r="H67" i="1"/>
  <c r="L67" i="1" s="1"/>
  <c r="H66" i="1"/>
  <c r="L66" i="1" s="1"/>
  <c r="H65" i="1"/>
  <c r="L65" i="1" s="1"/>
  <c r="H64" i="1"/>
  <c r="L64" i="1" s="1"/>
  <c r="H63" i="1"/>
  <c r="L63" i="1" s="1"/>
  <c r="H62" i="1"/>
  <c r="L62" i="1" s="1"/>
  <c r="H61" i="1"/>
  <c r="L61" i="1" s="1"/>
  <c r="H60" i="1"/>
  <c r="L60" i="1" s="1"/>
  <c r="H59" i="1"/>
  <c r="L59" i="1" s="1"/>
  <c r="H58" i="1"/>
  <c r="L58" i="1" s="1"/>
  <c r="H57" i="1"/>
  <c r="L57" i="1" s="1"/>
  <c r="H56" i="1"/>
  <c r="L56" i="1" s="1"/>
  <c r="H55" i="1"/>
  <c r="L55" i="1" s="1"/>
  <c r="H54" i="1"/>
  <c r="L54" i="1" s="1"/>
  <c r="H53" i="1"/>
  <c r="L53" i="1" s="1"/>
  <c r="H52" i="1"/>
  <c r="L52" i="1" s="1"/>
  <c r="H51" i="1"/>
  <c r="L51" i="1" s="1"/>
  <c r="H50" i="1"/>
  <c r="L50" i="1" s="1"/>
  <c r="H49" i="1"/>
  <c r="L49" i="1" s="1"/>
  <c r="H48" i="1"/>
  <c r="L48" i="1" s="1"/>
  <c r="H47" i="1"/>
  <c r="L47" i="1" s="1"/>
  <c r="H46" i="1"/>
  <c r="L46" i="1" s="1"/>
  <c r="H45" i="1"/>
  <c r="L45" i="1" s="1"/>
  <c r="H44" i="1"/>
  <c r="L44" i="1" s="1"/>
  <c r="H43" i="1"/>
  <c r="L43" i="1" s="1"/>
  <c r="H42" i="1"/>
  <c r="L42" i="1" s="1"/>
  <c r="H41" i="1"/>
  <c r="L41" i="1" s="1"/>
  <c r="H40" i="1"/>
  <c r="L40" i="1" s="1"/>
  <c r="H39" i="1"/>
  <c r="L39" i="1" s="1"/>
  <c r="H38" i="1"/>
  <c r="L38" i="1" s="1"/>
  <c r="H37" i="1"/>
  <c r="L37" i="1" s="1"/>
  <c r="H36" i="1"/>
  <c r="L36" i="1" s="1"/>
  <c r="H35" i="1"/>
  <c r="L35" i="1" s="1"/>
  <c r="H34" i="1"/>
  <c r="L34" i="1" s="1"/>
  <c r="H33" i="1"/>
  <c r="L33" i="1" s="1"/>
  <c r="H32" i="1"/>
  <c r="L32" i="1" s="1"/>
  <c r="H31" i="1"/>
  <c r="L31" i="1" s="1"/>
  <c r="H30" i="1"/>
  <c r="L30" i="1" s="1"/>
  <c r="H29" i="1"/>
  <c r="L29" i="1" s="1"/>
  <c r="H28" i="1"/>
  <c r="L28" i="1" s="1"/>
  <c r="H27" i="1"/>
  <c r="L27" i="1" s="1"/>
  <c r="H26" i="1"/>
  <c r="L26" i="1" s="1"/>
  <c r="H25" i="1"/>
  <c r="L25" i="1" s="1"/>
  <c r="H24" i="1"/>
  <c r="L24" i="1" s="1"/>
  <c r="H23" i="1"/>
  <c r="L23" i="1" s="1"/>
  <c r="H22" i="1"/>
  <c r="L22" i="1" s="1"/>
  <c r="H21" i="1"/>
  <c r="L21" i="1" s="1"/>
  <c r="H20" i="1"/>
  <c r="L20" i="1" s="1"/>
  <c r="H19" i="1"/>
  <c r="L19" i="1" s="1"/>
  <c r="H18" i="1"/>
  <c r="L18" i="1" s="1"/>
  <c r="H17" i="1"/>
  <c r="L17" i="1" s="1"/>
  <c r="H16" i="1"/>
  <c r="L16" i="1" s="1"/>
  <c r="H15" i="1"/>
  <c r="L15" i="1" s="1"/>
  <c r="H14" i="1"/>
  <c r="L14" i="1" s="1"/>
  <c r="H13" i="1"/>
  <c r="L13" i="1" s="1"/>
  <c r="H12" i="1"/>
  <c r="L12" i="1" s="1"/>
  <c r="H11" i="1"/>
  <c r="L11" i="1" s="1"/>
  <c r="H10" i="1"/>
  <c r="L10" i="1" s="1"/>
  <c r="H9" i="1"/>
  <c r="L9" i="1" s="1"/>
  <c r="H8" i="1"/>
  <c r="L8" i="1" s="1"/>
  <c r="H7" i="1"/>
  <c r="L7" i="1" s="1"/>
  <c r="H6" i="1"/>
  <c r="L6" i="1" s="1"/>
  <c r="H5" i="1"/>
  <c r="L5" i="1" s="1"/>
  <c r="H4" i="1"/>
  <c r="L4" i="1" s="1"/>
  <c r="H3" i="1"/>
  <c r="L3" i="1" s="1"/>
  <c r="H2" i="1"/>
  <c r="L2" i="1" s="1"/>
  <c r="K6" i="1" l="1"/>
  <c r="K22" i="1"/>
  <c r="K38" i="1"/>
  <c r="K46" i="1"/>
  <c r="K62" i="1"/>
  <c r="K78" i="1"/>
  <c r="K94" i="1"/>
  <c r="K102" i="1"/>
  <c r="K118" i="1"/>
  <c r="K134" i="1"/>
  <c r="K142" i="1"/>
  <c r="K158" i="1"/>
  <c r="K174" i="1"/>
  <c r="K182" i="1"/>
  <c r="K198" i="1"/>
  <c r="K215" i="1"/>
  <c r="K223" i="1"/>
  <c r="K239" i="1"/>
  <c r="K257" i="1"/>
  <c r="K265" i="1"/>
  <c r="K285" i="1"/>
  <c r="K302" i="1"/>
  <c r="K310" i="1"/>
  <c r="K327" i="1"/>
  <c r="K343" i="1"/>
  <c r="K351" i="1"/>
  <c r="K367" i="1"/>
  <c r="K383" i="1"/>
  <c r="K399" i="1"/>
  <c r="K415" i="1"/>
  <c r="K431" i="1"/>
  <c r="K447" i="1"/>
  <c r="K463" i="1"/>
  <c r="K479" i="1"/>
  <c r="K487" i="1"/>
  <c r="K495" i="1"/>
  <c r="K503" i="1"/>
  <c r="K511" i="1"/>
  <c r="K519" i="1"/>
  <c r="K536" i="1"/>
  <c r="K552" i="1"/>
  <c r="K568" i="1"/>
  <c r="K576" i="1"/>
  <c r="K601" i="1"/>
  <c r="K617" i="1"/>
  <c r="K633" i="1"/>
  <c r="K649" i="1"/>
  <c r="K666" i="1"/>
  <c r="K674" i="1"/>
  <c r="K692" i="1"/>
  <c r="K708" i="1"/>
  <c r="K724" i="1"/>
  <c r="K741" i="1"/>
  <c r="K767" i="1"/>
  <c r="K815" i="1"/>
  <c r="K14" i="1"/>
  <c r="K30" i="1"/>
  <c r="K54" i="1"/>
  <c r="K70" i="1"/>
  <c r="K86" i="1"/>
  <c r="K110" i="1"/>
  <c r="K126" i="1"/>
  <c r="K150" i="1"/>
  <c r="K166" i="1"/>
  <c r="K190" i="1"/>
  <c r="K207" i="1"/>
  <c r="K231" i="1"/>
  <c r="K249" i="1"/>
  <c r="K276" i="1"/>
  <c r="K293" i="1"/>
  <c r="K319" i="1"/>
  <c r="K335" i="1"/>
  <c r="K359" i="1"/>
  <c r="K375" i="1"/>
  <c r="K391" i="1"/>
  <c r="K407" i="1"/>
  <c r="K423" i="1"/>
  <c r="K439" i="1"/>
  <c r="K455" i="1"/>
  <c r="K471" i="1"/>
  <c r="K527" i="1"/>
  <c r="K544" i="1"/>
  <c r="K560" i="1"/>
  <c r="K585" i="1"/>
  <c r="K593" i="1"/>
  <c r="K609" i="1"/>
  <c r="K625" i="1"/>
  <c r="K641" i="1"/>
  <c r="K658" i="1"/>
  <c r="K683" i="1"/>
  <c r="K700" i="1"/>
  <c r="K716" i="1"/>
  <c r="K732" i="1"/>
  <c r="K749" i="1"/>
  <c r="K758" i="1"/>
  <c r="K775" i="1"/>
  <c r="K783" i="1"/>
  <c r="K791" i="1"/>
  <c r="K799" i="1"/>
  <c r="K807" i="1"/>
  <c r="K824" i="1"/>
  <c r="K832" i="1"/>
  <c r="K840" i="1"/>
  <c r="K848" i="1"/>
  <c r="K856" i="1"/>
  <c r="K864" i="1"/>
  <c r="K872" i="1"/>
  <c r="K880" i="1"/>
  <c r="K888" i="1"/>
  <c r="K896" i="1"/>
  <c r="K904" i="1"/>
  <c r="K912" i="1"/>
  <c r="K920" i="1"/>
  <c r="K928" i="1"/>
  <c r="K936" i="1"/>
  <c r="K944" i="1"/>
  <c r="K952" i="1"/>
  <c r="K960" i="1"/>
  <c r="K7" i="1"/>
  <c r="K15" i="1"/>
  <c r="K23" i="1"/>
  <c r="K31" i="1"/>
  <c r="K39" i="1"/>
  <c r="K47" i="1"/>
  <c r="K55" i="1"/>
  <c r="K63" i="1"/>
  <c r="K71" i="1"/>
  <c r="K79" i="1"/>
  <c r="K87" i="1"/>
  <c r="K95" i="1"/>
  <c r="K103" i="1"/>
  <c r="K111" i="1"/>
  <c r="K119" i="1"/>
  <c r="K127" i="1"/>
  <c r="K135" i="1"/>
  <c r="K143" i="1"/>
  <c r="K151" i="1"/>
  <c r="K159" i="1"/>
  <c r="K167" i="1"/>
  <c r="K175" i="1"/>
  <c r="K183" i="1"/>
  <c r="K191" i="1"/>
  <c r="K199" i="1"/>
  <c r="K208" i="1"/>
  <c r="K216" i="1"/>
  <c r="K224" i="1"/>
  <c r="K232" i="1"/>
  <c r="K240" i="1"/>
  <c r="K250" i="1"/>
  <c r="K258" i="1"/>
  <c r="K266" i="1"/>
  <c r="K2" i="1"/>
  <c r="K10" i="1"/>
  <c r="K18" i="1"/>
  <c r="K26" i="1"/>
  <c r="K34" i="1"/>
  <c r="K42" i="1"/>
  <c r="K50" i="1"/>
  <c r="K58" i="1"/>
  <c r="K66" i="1"/>
  <c r="K74" i="1"/>
  <c r="K82" i="1"/>
  <c r="K90" i="1"/>
  <c r="K98" i="1"/>
  <c r="K106" i="1"/>
  <c r="K114" i="1"/>
  <c r="K122" i="1"/>
  <c r="K130" i="1"/>
  <c r="K138" i="1"/>
  <c r="K146" i="1"/>
  <c r="K154" i="1"/>
  <c r="K162" i="1"/>
  <c r="K170" i="1"/>
  <c r="K178" i="1"/>
  <c r="K186" i="1"/>
  <c r="K194" i="1"/>
  <c r="K202" i="1"/>
  <c r="K211" i="1"/>
  <c r="K219" i="1"/>
  <c r="K227" i="1"/>
  <c r="K235" i="1"/>
  <c r="K244" i="1"/>
  <c r="K253" i="1"/>
  <c r="K261" i="1"/>
  <c r="K270" i="1"/>
  <c r="K281" i="1"/>
  <c r="K289" i="1"/>
  <c r="K298" i="1"/>
  <c r="K306" i="1"/>
  <c r="K314" i="1"/>
  <c r="K323" i="1"/>
  <c r="K331" i="1"/>
  <c r="K339" i="1"/>
  <c r="K347" i="1"/>
  <c r="K355" i="1"/>
  <c r="K363" i="1"/>
  <c r="K371" i="1"/>
  <c r="K379" i="1"/>
  <c r="K387" i="1"/>
  <c r="K395" i="1"/>
  <c r="K403" i="1"/>
  <c r="K411" i="1"/>
  <c r="K419" i="1"/>
  <c r="K427" i="1"/>
  <c r="K435" i="1"/>
  <c r="K443" i="1"/>
  <c r="K451" i="1"/>
  <c r="K459" i="1"/>
  <c r="K467" i="1"/>
  <c r="K475" i="1"/>
  <c r="K483" i="1"/>
  <c r="K491" i="1"/>
  <c r="K499" i="1"/>
  <c r="K507" i="1"/>
  <c r="K515" i="1"/>
  <c r="K523" i="1"/>
  <c r="K531" i="1"/>
  <c r="K540" i="1"/>
  <c r="K548" i="1"/>
  <c r="K556" i="1"/>
  <c r="K564" i="1"/>
  <c r="K572" i="1"/>
  <c r="K580" i="1"/>
  <c r="K589" i="1"/>
  <c r="K597" i="1"/>
  <c r="K605" i="1"/>
  <c r="K613" i="1"/>
  <c r="K621" i="1"/>
  <c r="K629" i="1"/>
  <c r="K637" i="1"/>
  <c r="K645" i="1"/>
  <c r="K653" i="1"/>
  <c r="K662" i="1"/>
  <c r="K670" i="1"/>
  <c r="K679" i="1"/>
  <c r="K687" i="1"/>
  <c r="K696" i="1"/>
  <c r="K704" i="1"/>
  <c r="K712" i="1"/>
  <c r="K720" i="1"/>
  <c r="K728" i="1"/>
  <c r="K736" i="1"/>
  <c r="K745" i="1"/>
  <c r="K754" i="1"/>
  <c r="K762" i="1"/>
  <c r="K771" i="1"/>
  <c r="K779" i="1"/>
  <c r="K787" i="1"/>
  <c r="K795" i="1"/>
  <c r="K803" i="1"/>
  <c r="K811" i="1"/>
  <c r="K820" i="1"/>
  <c r="K828" i="1"/>
  <c r="K836" i="1"/>
  <c r="K844" i="1"/>
  <c r="K852" i="1"/>
  <c r="K860" i="1"/>
  <c r="K868" i="1"/>
  <c r="K876" i="1"/>
  <c r="K884" i="1"/>
  <c r="K892" i="1"/>
  <c r="K900" i="1"/>
  <c r="K908" i="1"/>
  <c r="K916" i="1"/>
  <c r="K924" i="1"/>
  <c r="K932" i="1"/>
  <c r="K940" i="1"/>
  <c r="K948" i="1"/>
  <c r="K956" i="1"/>
  <c r="K3" i="1"/>
  <c r="K11" i="1"/>
  <c r="K19" i="1"/>
  <c r="K27" i="1"/>
  <c r="K35" i="1"/>
  <c r="K43" i="1"/>
  <c r="K51" i="1"/>
  <c r="K59" i="1"/>
  <c r="K67" i="1"/>
  <c r="K75" i="1"/>
  <c r="K83" i="1"/>
  <c r="K91" i="1"/>
  <c r="K99" i="1"/>
  <c r="K107" i="1"/>
  <c r="K115" i="1"/>
  <c r="K123" i="1"/>
  <c r="K131" i="1"/>
  <c r="K139" i="1"/>
  <c r="K147" i="1"/>
  <c r="K155" i="1"/>
  <c r="K163" i="1"/>
  <c r="K171" i="1"/>
  <c r="K179" i="1"/>
  <c r="K187" i="1"/>
  <c r="K195" i="1"/>
  <c r="K204" i="1"/>
  <c r="K212" i="1"/>
  <c r="K220" i="1"/>
  <c r="K228" i="1"/>
  <c r="K236" i="1"/>
  <c r="K245" i="1"/>
  <c r="K254" i="1"/>
  <c r="K262" i="1"/>
  <c r="K272" i="1"/>
  <c r="K282" i="1"/>
  <c r="K290" i="1"/>
  <c r="K299" i="1"/>
  <c r="K307" i="1"/>
  <c r="K315" i="1"/>
  <c r="K324" i="1"/>
  <c r="K332" i="1"/>
  <c r="K340" i="1"/>
  <c r="K348" i="1"/>
  <c r="K356" i="1"/>
  <c r="K364" i="1"/>
  <c r="K372" i="1"/>
  <c r="K380" i="1"/>
  <c r="K388" i="1"/>
  <c r="K396" i="1"/>
  <c r="K404" i="1"/>
  <c r="K412" i="1"/>
  <c r="K420" i="1"/>
  <c r="K428" i="1"/>
  <c r="K436" i="1"/>
  <c r="K444" i="1"/>
  <c r="K452" i="1"/>
  <c r="K460" i="1"/>
  <c r="K468" i="1"/>
  <c r="K476" i="1"/>
  <c r="K484" i="1"/>
  <c r="K492" i="1"/>
  <c r="K500" i="1"/>
  <c r="K508" i="1"/>
  <c r="K516" i="1"/>
  <c r="K4" i="1"/>
  <c r="K12" i="1"/>
  <c r="K20" i="1"/>
  <c r="K28" i="1"/>
  <c r="K36" i="1"/>
  <c r="K44" i="1"/>
  <c r="K52" i="1"/>
  <c r="K60" i="1"/>
  <c r="K68" i="1"/>
  <c r="K76" i="1"/>
  <c r="K84" i="1"/>
  <c r="K92" i="1"/>
  <c r="K100" i="1"/>
  <c r="K108" i="1"/>
  <c r="K116" i="1"/>
  <c r="K124" i="1"/>
  <c r="K132" i="1"/>
  <c r="K140" i="1"/>
  <c r="K148" i="1"/>
  <c r="K156" i="1"/>
  <c r="K164" i="1"/>
  <c r="K172" i="1"/>
  <c r="K180" i="1"/>
  <c r="K188" i="1"/>
  <c r="K196" i="1"/>
  <c r="K205" i="1"/>
  <c r="K213" i="1"/>
  <c r="K221" i="1"/>
  <c r="K229" i="1"/>
  <c r="K237" i="1"/>
  <c r="K247" i="1"/>
  <c r="K255" i="1"/>
  <c r="K263" i="1"/>
  <c r="K274" i="1"/>
  <c r="K283" i="1"/>
  <c r="K291" i="1"/>
  <c r="K300" i="1"/>
  <c r="K308" i="1"/>
  <c r="K316" i="1"/>
  <c r="K325" i="1"/>
  <c r="K333" i="1"/>
  <c r="K341" i="1"/>
  <c r="K349" i="1"/>
  <c r="K357" i="1"/>
  <c r="K365" i="1"/>
  <c r="K373" i="1"/>
  <c r="K381" i="1"/>
  <c r="K389" i="1"/>
  <c r="K397" i="1"/>
  <c r="K405" i="1"/>
  <c r="K413" i="1"/>
  <c r="K421" i="1"/>
  <c r="K429" i="1"/>
  <c r="K437" i="1"/>
  <c r="K445" i="1"/>
  <c r="K453" i="1"/>
  <c r="K461" i="1"/>
  <c r="K469" i="1"/>
  <c r="K477" i="1"/>
  <c r="K485" i="1"/>
  <c r="K493" i="1"/>
  <c r="K501" i="1"/>
  <c r="K509" i="1"/>
  <c r="K517" i="1"/>
  <c r="K525" i="1"/>
  <c r="K533" i="1"/>
  <c r="K542" i="1"/>
  <c r="K550" i="1"/>
  <c r="K558" i="1"/>
  <c r="K566" i="1"/>
  <c r="K574" i="1"/>
  <c r="K582" i="1"/>
  <c r="K591" i="1"/>
  <c r="K599" i="1"/>
  <c r="K607" i="1"/>
  <c r="K615" i="1"/>
  <c r="K623" i="1"/>
  <c r="K631" i="1"/>
  <c r="K639" i="1"/>
  <c r="K647" i="1"/>
  <c r="K656" i="1"/>
  <c r="K664" i="1"/>
  <c r="K672" i="1"/>
  <c r="K681" i="1"/>
  <c r="K689" i="1"/>
  <c r="K698" i="1"/>
  <c r="K706" i="1"/>
  <c r="K714" i="1"/>
  <c r="K722" i="1"/>
  <c r="K730" i="1"/>
  <c r="K739" i="1"/>
  <c r="K747" i="1"/>
  <c r="K756" i="1"/>
  <c r="K765" i="1"/>
  <c r="K773" i="1"/>
  <c r="K781" i="1"/>
  <c r="K789" i="1"/>
  <c r="K797" i="1"/>
  <c r="K805" i="1"/>
  <c r="K813" i="1"/>
  <c r="K822" i="1"/>
  <c r="K830" i="1"/>
  <c r="K838" i="1"/>
  <c r="K846" i="1"/>
  <c r="K854" i="1"/>
  <c r="K862" i="1"/>
  <c r="K870" i="1"/>
  <c r="K878" i="1"/>
  <c r="K886" i="1"/>
  <c r="K894" i="1"/>
  <c r="K902" i="1"/>
  <c r="K910" i="1"/>
  <c r="K918" i="1"/>
  <c r="K926" i="1"/>
  <c r="K934" i="1"/>
  <c r="K942" i="1"/>
  <c r="K950" i="1"/>
  <c r="K958" i="1"/>
  <c r="K5" i="1"/>
  <c r="K13" i="1"/>
  <c r="K21" i="1"/>
  <c r="K29" i="1"/>
  <c r="K37" i="1"/>
  <c r="K45" i="1"/>
  <c r="K53" i="1"/>
  <c r="K61" i="1"/>
  <c r="K69" i="1"/>
  <c r="K77" i="1"/>
  <c r="K85" i="1"/>
  <c r="K93" i="1"/>
  <c r="K101" i="1"/>
  <c r="K109" i="1"/>
  <c r="K117" i="1"/>
  <c r="K125" i="1"/>
  <c r="K133" i="1"/>
  <c r="K141" i="1"/>
  <c r="K149" i="1"/>
  <c r="K157" i="1"/>
  <c r="K165" i="1"/>
  <c r="K173" i="1"/>
  <c r="K181" i="1"/>
  <c r="K189" i="1"/>
  <c r="K197" i="1"/>
  <c r="K206" i="1"/>
  <c r="K214" i="1"/>
  <c r="K222" i="1"/>
  <c r="K230" i="1"/>
  <c r="K277" i="1"/>
  <c r="K286" i="1"/>
  <c r="K295" i="1"/>
  <c r="K303" i="1"/>
  <c r="K311" i="1"/>
  <c r="K320" i="1"/>
  <c r="K328" i="1"/>
  <c r="K336" i="1"/>
  <c r="K344" i="1"/>
  <c r="K352" i="1"/>
  <c r="K360" i="1"/>
  <c r="K368" i="1"/>
  <c r="K376" i="1"/>
  <c r="K384" i="1"/>
  <c r="K392" i="1"/>
  <c r="K400" i="1"/>
  <c r="K408" i="1"/>
  <c r="K416" i="1"/>
  <c r="K424" i="1"/>
  <c r="K432" i="1"/>
  <c r="K440" i="1"/>
  <c r="K448" i="1"/>
  <c r="K456" i="1"/>
  <c r="K464" i="1"/>
  <c r="K472" i="1"/>
  <c r="K480" i="1"/>
  <c r="K488" i="1"/>
  <c r="K496" i="1"/>
  <c r="K504" i="1"/>
  <c r="K512" i="1"/>
  <c r="K520" i="1"/>
  <c r="K528" i="1"/>
  <c r="K537" i="1"/>
  <c r="K545" i="1"/>
  <c r="K553" i="1"/>
  <c r="K561" i="1"/>
  <c r="K569" i="1"/>
  <c r="K577" i="1"/>
  <c r="K586" i="1"/>
  <c r="K594" i="1"/>
  <c r="K602" i="1"/>
  <c r="K610" i="1"/>
  <c r="K618" i="1"/>
  <c r="K626" i="1"/>
  <c r="K634" i="1"/>
  <c r="K642" i="1"/>
  <c r="K650" i="1"/>
  <c r="K659" i="1"/>
  <c r="K667" i="1"/>
  <c r="K676" i="1"/>
  <c r="K684" i="1"/>
  <c r="K693" i="1"/>
  <c r="K701" i="1"/>
  <c r="K709" i="1"/>
  <c r="K717" i="1"/>
  <c r="K725" i="1"/>
  <c r="K733" i="1"/>
  <c r="K742" i="1"/>
  <c r="K750" i="1"/>
  <c r="K759" i="1"/>
  <c r="K768" i="1"/>
  <c r="K776" i="1"/>
  <c r="K784" i="1"/>
  <c r="K792" i="1"/>
  <c r="K800" i="1"/>
  <c r="K808" i="1"/>
  <c r="K816" i="1"/>
  <c r="K825" i="1"/>
  <c r="K833" i="1"/>
  <c r="K841" i="1"/>
  <c r="K849" i="1"/>
  <c r="K857" i="1"/>
  <c r="K865" i="1"/>
  <c r="K873" i="1"/>
  <c r="K881" i="1"/>
  <c r="K889" i="1"/>
  <c r="K897" i="1"/>
  <c r="K905" i="1"/>
  <c r="K913" i="1"/>
  <c r="K921" i="1"/>
  <c r="K929" i="1"/>
  <c r="K937" i="1"/>
  <c r="K945" i="1"/>
  <c r="K953" i="1"/>
  <c r="K961" i="1"/>
  <c r="K524" i="1"/>
  <c r="K532" i="1"/>
  <c r="K541" i="1"/>
  <c r="K549" i="1"/>
  <c r="K557" i="1"/>
  <c r="K565" i="1"/>
  <c r="K573" i="1"/>
  <c r="K581" i="1"/>
  <c r="K590" i="1"/>
  <c r="K598" i="1"/>
  <c r="K606" i="1"/>
  <c r="K614" i="1"/>
  <c r="K622" i="1"/>
  <c r="K630" i="1"/>
  <c r="K638" i="1"/>
  <c r="K646" i="1"/>
  <c r="K654" i="1"/>
  <c r="K663" i="1"/>
  <c r="K671" i="1"/>
  <c r="K680" i="1"/>
  <c r="K688" i="1"/>
  <c r="K697" i="1"/>
  <c r="K705" i="1"/>
  <c r="K713" i="1"/>
  <c r="K721" i="1"/>
  <c r="K729" i="1"/>
  <c r="K738" i="1"/>
  <c r="K746" i="1"/>
  <c r="K755" i="1"/>
  <c r="K764" i="1"/>
  <c r="K772" i="1"/>
  <c r="K780" i="1"/>
  <c r="K788" i="1"/>
  <c r="K796" i="1"/>
  <c r="K804" i="1"/>
  <c r="K812" i="1"/>
  <c r="K821" i="1"/>
  <c r="K829" i="1"/>
  <c r="K837" i="1"/>
  <c r="K845" i="1"/>
  <c r="K853" i="1"/>
  <c r="K861" i="1"/>
  <c r="K869" i="1"/>
  <c r="K877" i="1"/>
  <c r="K885" i="1"/>
  <c r="K893" i="1"/>
  <c r="K901" i="1"/>
  <c r="K909" i="1"/>
  <c r="K917" i="1"/>
  <c r="K925" i="1"/>
  <c r="K933" i="1"/>
  <c r="K941" i="1"/>
  <c r="K957" i="1"/>
  <c r="K238" i="1"/>
  <c r="K248" i="1"/>
  <c r="K256" i="1"/>
  <c r="K264" i="1"/>
  <c r="K275" i="1"/>
  <c r="K284" i="1"/>
  <c r="K292" i="1"/>
  <c r="K301" i="1"/>
  <c r="K309" i="1"/>
  <c r="K318" i="1"/>
  <c r="K326" i="1"/>
  <c r="K334" i="1"/>
  <c r="K342" i="1"/>
  <c r="K350" i="1"/>
  <c r="K358" i="1"/>
  <c r="K366" i="1"/>
  <c r="K374" i="1"/>
  <c r="K382" i="1"/>
  <c r="K390" i="1"/>
  <c r="K398" i="1"/>
  <c r="K406" i="1"/>
  <c r="K414" i="1"/>
  <c r="K422" i="1"/>
  <c r="K430" i="1"/>
  <c r="K438" i="1"/>
  <c r="K446" i="1"/>
  <c r="K454" i="1"/>
  <c r="K462" i="1"/>
  <c r="K470" i="1"/>
  <c r="K478" i="1"/>
  <c r="K486" i="1"/>
  <c r="K494" i="1"/>
  <c r="K502" i="1"/>
  <c r="K510" i="1"/>
  <c r="K518" i="1"/>
  <c r="K526" i="1"/>
  <c r="K535" i="1"/>
  <c r="K543" i="1"/>
  <c r="K551" i="1"/>
  <c r="K559" i="1"/>
  <c r="K567" i="1"/>
  <c r="K575" i="1"/>
  <c r="K583" i="1"/>
  <c r="K592" i="1"/>
  <c r="K600" i="1"/>
  <c r="K608" i="1"/>
  <c r="K616" i="1"/>
  <c r="K624" i="1"/>
  <c r="K632" i="1"/>
  <c r="K640" i="1"/>
  <c r="K648" i="1"/>
  <c r="K657" i="1"/>
  <c r="K665" i="1"/>
  <c r="K673" i="1"/>
  <c r="K682" i="1"/>
  <c r="K690" i="1"/>
  <c r="K699" i="1"/>
  <c r="K707" i="1"/>
  <c r="K715" i="1"/>
  <c r="K723" i="1"/>
  <c r="K731" i="1"/>
  <c r="K740" i="1"/>
  <c r="K748" i="1"/>
  <c r="K757" i="1"/>
  <c r="K766" i="1"/>
  <c r="K774" i="1"/>
  <c r="K782" i="1"/>
  <c r="K790" i="1"/>
  <c r="K798" i="1"/>
  <c r="K806" i="1"/>
  <c r="K814" i="1"/>
  <c r="K823" i="1"/>
  <c r="K831" i="1"/>
  <c r="K839" i="1"/>
  <c r="K847" i="1"/>
  <c r="K855" i="1"/>
  <c r="K863" i="1"/>
  <c r="K871" i="1"/>
  <c r="K879" i="1"/>
  <c r="K895" i="1"/>
  <c r="K919" i="1"/>
  <c r="K943" i="1"/>
  <c r="K959" i="1"/>
  <c r="K887" i="1"/>
  <c r="K903" i="1"/>
  <c r="K911" i="1"/>
  <c r="K927" i="1"/>
  <c r="K935" i="1"/>
  <c r="K951" i="1"/>
  <c r="K949" i="1"/>
</calcChain>
</file>

<file path=xl/sharedStrings.xml><?xml version="1.0" encoding="utf-8"?>
<sst xmlns="http://schemas.openxmlformats.org/spreadsheetml/2006/main" count="5780" uniqueCount="3032">
  <si>
    <t>Name</t>
  </si>
  <si>
    <t>Rank</t>
  </si>
  <si>
    <t>Category</t>
  </si>
  <si>
    <t>Followers</t>
  </si>
  <si>
    <t>Audience Country</t>
  </si>
  <si>
    <t>Authentic Engagement</t>
  </si>
  <si>
    <t>Engagement Avg.</t>
  </si>
  <si>
    <t>cristiano</t>
  </si>
  <si>
    <t>Sports with a ball</t>
  </si>
  <si>
    <t>462.9M</t>
  </si>
  <si>
    <t>India</t>
  </si>
  <si>
    <t>5.5M</t>
  </si>
  <si>
    <t>6.6M</t>
  </si>
  <si>
    <t>leomessi</t>
  </si>
  <si>
    <t>Sports with a ballFamily</t>
  </si>
  <si>
    <t>347.2M</t>
  </si>
  <si>
    <t>Argentina</t>
  </si>
  <si>
    <t>3.6M</t>
  </si>
  <si>
    <t>4.8M</t>
  </si>
  <si>
    <t>kendalljenner</t>
  </si>
  <si>
    <t>ModelingFashion</t>
  </si>
  <si>
    <t>247.6M</t>
  </si>
  <si>
    <t>United States</t>
  </si>
  <si>
    <t>3M</t>
  </si>
  <si>
    <t>4.9M</t>
  </si>
  <si>
    <t>arianagrande</t>
  </si>
  <si>
    <t>Music</t>
  </si>
  <si>
    <t>321.4M</t>
  </si>
  <si>
    <t>2.4M</t>
  </si>
  <si>
    <t>3.4M</t>
  </si>
  <si>
    <t>zendaya</t>
  </si>
  <si>
    <t>Cinema &amp; Actors/actressesFashion</t>
  </si>
  <si>
    <t>147M</t>
  </si>
  <si>
    <t>4.3M</t>
  </si>
  <si>
    <t>5.8M</t>
  </si>
  <si>
    <t>kimkardashian</t>
  </si>
  <si>
    <t>FashionBeauty</t>
  </si>
  <si>
    <t>323.6M</t>
  </si>
  <si>
    <t>1.7M</t>
  </si>
  <si>
    <t>2.5M</t>
  </si>
  <si>
    <t>taylorswift</t>
  </si>
  <si>
    <t>218.2M</t>
  </si>
  <si>
    <t>Brazil</t>
  </si>
  <si>
    <t>3.2M</t>
  </si>
  <si>
    <t>kyliejenner</t>
  </si>
  <si>
    <t>FashionModelingBeauty</t>
  </si>
  <si>
    <t>357M</t>
  </si>
  <si>
    <t>1.2M</t>
  </si>
  <si>
    <t>1.9M</t>
  </si>
  <si>
    <t>selenagomez</t>
  </si>
  <si>
    <t>MusicLifestyle</t>
  </si>
  <si>
    <t>334.9M</t>
  </si>
  <si>
    <t>1.4M</t>
  </si>
  <si>
    <t>thv</t>
  </si>
  <si>
    <t>46.3M</t>
  </si>
  <si>
    <t>13.3M</t>
  </si>
  <si>
    <t>lalalalisa_m</t>
  </si>
  <si>
    <t>79.9M</t>
  </si>
  <si>
    <t>Indonesia</t>
  </si>
  <si>
    <t>6.3M</t>
  </si>
  <si>
    <t>7.3M</t>
  </si>
  <si>
    <t>jennierubyjane</t>
  </si>
  <si>
    <t>68.2M</t>
  </si>
  <si>
    <t>7M</t>
  </si>
  <si>
    <t>8.3M</t>
  </si>
  <si>
    <t>virat.kohli</t>
  </si>
  <si>
    <t>206.9M</t>
  </si>
  <si>
    <t>2.1M</t>
  </si>
  <si>
    <t>tomholland2013</t>
  </si>
  <si>
    <t>Cinema &amp; Actors/actresses</t>
  </si>
  <si>
    <t>67.6M</t>
  </si>
  <si>
    <t>5.7M</t>
  </si>
  <si>
    <t>j.m</t>
  </si>
  <si>
    <t>38.1M</t>
  </si>
  <si>
    <t>11.8M</t>
  </si>
  <si>
    <t>agustd</t>
  </si>
  <si>
    <t>Lifestyle</t>
  </si>
  <si>
    <t>36.5M</t>
  </si>
  <si>
    <t>10.4M</t>
  </si>
  <si>
    <t>jin</t>
  </si>
  <si>
    <t>37.4M</t>
  </si>
  <si>
    <t>9.9M</t>
  </si>
  <si>
    <t>beyonce</t>
  </si>
  <si>
    <t>MusicFashion</t>
  </si>
  <si>
    <t>267.4M</t>
  </si>
  <si>
    <t>949.9K</t>
  </si>
  <si>
    <t>1.3M</t>
  </si>
  <si>
    <t>khloekardashian</t>
  </si>
  <si>
    <t>Clothing &amp; OutfitsLifestyle</t>
  </si>
  <si>
    <t>260.4M</t>
  </si>
  <si>
    <t>1.1M</t>
  </si>
  <si>
    <t>sooyaaa__</t>
  </si>
  <si>
    <t>MusicBeauty</t>
  </si>
  <si>
    <t>62.1M</t>
  </si>
  <si>
    <t>5.6M</t>
  </si>
  <si>
    <t>billieeilish</t>
  </si>
  <si>
    <t>104.3M</t>
  </si>
  <si>
    <t>3.1M</t>
  </si>
  <si>
    <t>neymarjr</t>
  </si>
  <si>
    <t>176.2M</t>
  </si>
  <si>
    <t>1.8M</t>
  </si>
  <si>
    <t>khaby00</t>
  </si>
  <si>
    <t>78.6M</t>
  </si>
  <si>
    <t>2.8M</t>
  </si>
  <si>
    <t>3.9M</t>
  </si>
  <si>
    <t>justinbieber</t>
  </si>
  <si>
    <t>245.9M</t>
  </si>
  <si>
    <t>798.5K</t>
  </si>
  <si>
    <t>roses_are_rosie</t>
  </si>
  <si>
    <t>61M</t>
  </si>
  <si>
    <t>4M</t>
  </si>
  <si>
    <t>4.6M</t>
  </si>
  <si>
    <t>uarmyhope</t>
  </si>
  <si>
    <t>Art/ArtistsCinema &amp; Actors/actressesMusic</t>
  </si>
  <si>
    <t>South Korea</t>
  </si>
  <si>
    <t>6.9M</t>
  </si>
  <si>
    <t>badbunnypr</t>
  </si>
  <si>
    <t>41.4M</t>
  </si>
  <si>
    <t>6M</t>
  </si>
  <si>
    <t>nickiminaj</t>
  </si>
  <si>
    <t>197.8M</t>
  </si>
  <si>
    <t>744.2K</t>
  </si>
  <si>
    <t>instagram</t>
  </si>
  <si>
    <t>Photography</t>
  </si>
  <si>
    <t>528.4M</t>
  </si>
  <si>
    <t>339.6K</t>
  </si>
  <si>
    <t>434.3K</t>
  </si>
  <si>
    <t>jungkook.97</t>
  </si>
  <si>
    <t>43M</t>
  </si>
  <si>
    <t>5.2M</t>
  </si>
  <si>
    <t>bts.bighitofficial</t>
  </si>
  <si>
    <t>66M</t>
  </si>
  <si>
    <t>3.3M</t>
  </si>
  <si>
    <t>iamcardib</t>
  </si>
  <si>
    <t>137.3M</t>
  </si>
  <si>
    <t>1.5M</t>
  </si>
  <si>
    <t>kourtneykardash</t>
  </si>
  <si>
    <t>189M</t>
  </si>
  <si>
    <t>739.8K</t>
  </si>
  <si>
    <t>karolg</t>
  </si>
  <si>
    <t>54.5M</t>
  </si>
  <si>
    <t>Mexico</t>
  </si>
  <si>
    <t>3.7M</t>
  </si>
  <si>
    <t>zayn</t>
  </si>
  <si>
    <t>46.2M</t>
  </si>
  <si>
    <t>2.7M</t>
  </si>
  <si>
    <t>rkive</t>
  </si>
  <si>
    <t>36M</t>
  </si>
  <si>
    <t>5.4M</t>
  </si>
  <si>
    <t>milliebobbybrown</t>
  </si>
  <si>
    <t>53.2M</t>
  </si>
  <si>
    <t>3.5M</t>
  </si>
  <si>
    <t>gigihadid</t>
  </si>
  <si>
    <t>ModelingLifestyle</t>
  </si>
  <si>
    <t>74.9M</t>
  </si>
  <si>
    <t>1.6M</t>
  </si>
  <si>
    <t>jlo</t>
  </si>
  <si>
    <t>MusicCinema &amp; Actors/actresses</t>
  </si>
  <si>
    <t>217.5M</t>
  </si>
  <si>
    <t>585.7K</t>
  </si>
  <si>
    <t>743.2K</t>
  </si>
  <si>
    <t>kingjames</t>
  </si>
  <si>
    <t>127.4M</t>
  </si>
  <si>
    <t>741.7K</t>
  </si>
  <si>
    <t>therock</t>
  </si>
  <si>
    <t>Cinema &amp; Actors/actressesFitness &amp; Gym</t>
  </si>
  <si>
    <t>327.3M</t>
  </si>
  <si>
    <t>373.2K</t>
  </si>
  <si>
    <t>479.8K</t>
  </si>
  <si>
    <t>adele</t>
  </si>
  <si>
    <t>50.6M</t>
  </si>
  <si>
    <t>2.2M</t>
  </si>
  <si>
    <t>georginagio</t>
  </si>
  <si>
    <t>LifestyleFashionClothing &amp; Outfits</t>
  </si>
  <si>
    <t>39M</t>
  </si>
  <si>
    <t>3.8M</t>
  </si>
  <si>
    <t>champagnepapi</t>
  </si>
  <si>
    <t>116.6M</t>
  </si>
  <si>
    <t>753.6K</t>
  </si>
  <si>
    <t>katrinakaif</t>
  </si>
  <si>
    <t>Beauty</t>
  </si>
  <si>
    <t>65.6M</t>
  </si>
  <si>
    <t>harrystyles</t>
  </si>
  <si>
    <t>2.9M</t>
  </si>
  <si>
    <t>mileycyrus</t>
  </si>
  <si>
    <t>178.2M</t>
  </si>
  <si>
    <t>557.8K</t>
  </si>
  <si>
    <t>757.2K</t>
  </si>
  <si>
    <t>eunwo.o_c</t>
  </si>
  <si>
    <t>29.2M</t>
  </si>
  <si>
    <t>4.5M</t>
  </si>
  <si>
    <t>travisscott</t>
  </si>
  <si>
    <t>45.8M</t>
  </si>
  <si>
    <t>ester_exposito</t>
  </si>
  <si>
    <t>29.4M</t>
  </si>
  <si>
    <t>Russia</t>
  </si>
  <si>
    <t>2.6M</t>
  </si>
  <si>
    <t>robertdowneyjr</t>
  </si>
  <si>
    <t>2M</t>
  </si>
  <si>
    <t>dlwlrma</t>
  </si>
  <si>
    <t>Art/Artists</t>
  </si>
  <si>
    <t>27M</t>
  </si>
  <si>
    <t>actorleeminho</t>
  </si>
  <si>
    <t>30.1M</t>
  </si>
  <si>
    <t>narendramodi</t>
  </si>
  <si>
    <t>Finance &amp; EconomicsBusiness &amp; Careers</t>
  </si>
  <si>
    <t>shawnmendes</t>
  </si>
  <si>
    <t>69.4M</t>
  </si>
  <si>
    <t>838K</t>
  </si>
  <si>
    <t>k.mbappe</t>
  </si>
  <si>
    <t>72.4M</t>
  </si>
  <si>
    <t>France</t>
  </si>
  <si>
    <t>806.5K</t>
  </si>
  <si>
    <t>johnnydepp</t>
  </si>
  <si>
    <t>Cinema &amp; Actors/actressesMusic</t>
  </si>
  <si>
    <t>26.6M</t>
  </si>
  <si>
    <t>aliaabhatt</t>
  </si>
  <si>
    <t>67.2M</t>
  </si>
  <si>
    <t>979.6K</t>
  </si>
  <si>
    <t>oliviarodrigo</t>
  </si>
  <si>
    <t>27.1M</t>
  </si>
  <si>
    <t>2.3M</t>
  </si>
  <si>
    <t>anushkasharma</t>
  </si>
  <si>
    <t>59.3M</t>
  </si>
  <si>
    <t>dualipa</t>
  </si>
  <si>
    <t>85.1M</t>
  </si>
  <si>
    <t>729.1K</t>
  </si>
  <si>
    <t>879.1K</t>
  </si>
  <si>
    <t>dovecameron</t>
  </si>
  <si>
    <t>48.1M</t>
  </si>
  <si>
    <t>camila_cabello</t>
  </si>
  <si>
    <t>64.4M</t>
  </si>
  <si>
    <t>845.4K</t>
  </si>
  <si>
    <t>noahschnapp</t>
  </si>
  <si>
    <t>24.7M</t>
  </si>
  <si>
    <t>danbilzerian</t>
  </si>
  <si>
    <t>32.9M</t>
  </si>
  <si>
    <t>charlidamelio</t>
  </si>
  <si>
    <t>LifestyleShows</t>
  </si>
  <si>
    <t>48.9M</t>
  </si>
  <si>
    <t>dojacat</t>
  </si>
  <si>
    <t>24.2M</t>
  </si>
  <si>
    <t>chrishemsworth</t>
  </si>
  <si>
    <t>55.1M</t>
  </si>
  <si>
    <t>869.2K</t>
  </si>
  <si>
    <t>kimberly.loaiza</t>
  </si>
  <si>
    <t>35.2M</t>
  </si>
  <si>
    <t>lelepons</t>
  </si>
  <si>
    <t>49M</t>
  </si>
  <si>
    <t>763.5K</t>
  </si>
  <si>
    <t>iamzlatanibrahimovic</t>
  </si>
  <si>
    <t>54.6M</t>
  </si>
  <si>
    <t>Italy</t>
  </si>
  <si>
    <t>682.1K</t>
  </si>
  <si>
    <t>mosalah</t>
  </si>
  <si>
    <t>51.9M</t>
  </si>
  <si>
    <t>Egypt</t>
  </si>
  <si>
    <t>753.4K</t>
  </si>
  <si>
    <t>bn_sj2013</t>
  </si>
  <si>
    <t>Cinema &amp; Actors/actressesModelingLifestyle</t>
  </si>
  <si>
    <t>22.2M</t>
  </si>
  <si>
    <t>jongsuk0206</t>
  </si>
  <si>
    <t>23M</t>
  </si>
  <si>
    <t>handemiyy</t>
  </si>
  <si>
    <t>28.5M</t>
  </si>
  <si>
    <t>Turkey</t>
  </si>
  <si>
    <t>niallhoran</t>
  </si>
  <si>
    <t>30.2M</t>
  </si>
  <si>
    <t>paulodybala</t>
  </si>
  <si>
    <t>47.7M</t>
  </si>
  <si>
    <t>684.3K</t>
  </si>
  <si>
    <t>gal_gadot</t>
  </si>
  <si>
    <t>83.8M</t>
  </si>
  <si>
    <t>468.3K</t>
  </si>
  <si>
    <t>605.9K</t>
  </si>
  <si>
    <t>oohsehun</t>
  </si>
  <si>
    <t>23.3M</t>
  </si>
  <si>
    <t>realmadrid</t>
  </si>
  <si>
    <t>121.8M</t>
  </si>
  <si>
    <t>Spain</t>
  </si>
  <si>
    <t>289.5K</t>
  </si>
  <si>
    <t>396.5K</t>
  </si>
  <si>
    <t>sadiesink_</t>
  </si>
  <si>
    <t>ModelingLifestyleBeauty</t>
  </si>
  <si>
    <t>21.6M</t>
  </si>
  <si>
    <t>lilireinhart</t>
  </si>
  <si>
    <t>29M</t>
  </si>
  <si>
    <t>chrisbrownofficial</t>
  </si>
  <si>
    <t>115.1M</t>
  </si>
  <si>
    <t>267K</t>
  </si>
  <si>
    <t>414.5K</t>
  </si>
  <si>
    <t>fcbarcelona</t>
  </si>
  <si>
    <t>110M</t>
  </si>
  <si>
    <t>281.6K</t>
  </si>
  <si>
    <t>424.1K</t>
  </si>
  <si>
    <t>iamsrk</t>
  </si>
  <si>
    <t>30M</t>
  </si>
  <si>
    <t>ddlovato</t>
  </si>
  <si>
    <t>136.3M</t>
  </si>
  <si>
    <t>264.5K</t>
  </si>
  <si>
    <t>338.1K</t>
  </si>
  <si>
    <t>rashmika_mandanna</t>
  </si>
  <si>
    <t>BeautyArt/ArtistsCinema &amp; Actors/actresses</t>
  </si>
  <si>
    <t>32.3M</t>
  </si>
  <si>
    <t>dishapatani</t>
  </si>
  <si>
    <t>Cinema &amp; Actors/actressesLifestyle</t>
  </si>
  <si>
    <t>52.1M</t>
  </si>
  <si>
    <t>696K</t>
  </si>
  <si>
    <t>855.2K</t>
  </si>
  <si>
    <t>songkang_b</t>
  </si>
  <si>
    <t>LifestyleMusic</t>
  </si>
  <si>
    <t>14.4M</t>
  </si>
  <si>
    <t>bellahadid</t>
  </si>
  <si>
    <t>Modeling</t>
  </si>
  <si>
    <t>499.7K</t>
  </si>
  <si>
    <t>798.4K</t>
  </si>
  <si>
    <t>jacksonwang852g7</t>
  </si>
  <si>
    <t>28.9M</t>
  </si>
  <si>
    <t>China</t>
  </si>
  <si>
    <t>deepikapadukone</t>
  </si>
  <si>
    <t>67.8M</t>
  </si>
  <si>
    <t>468.7K</t>
  </si>
  <si>
    <t>611K</t>
  </si>
  <si>
    <t>dannapaola</t>
  </si>
  <si>
    <t>34.5M</t>
  </si>
  <si>
    <t>828.3K</t>
  </si>
  <si>
    <t>blackpinkofficial</t>
  </si>
  <si>
    <t>700.1K</t>
  </si>
  <si>
    <t>853K</t>
  </si>
  <si>
    <t>haileybieber</t>
  </si>
  <si>
    <t>LifestyleModeling</t>
  </si>
  <si>
    <t>45.9M</t>
  </si>
  <si>
    <t>655.9K</t>
  </si>
  <si>
    <t>880.4K</t>
  </si>
  <si>
    <t>karimbenzema</t>
  </si>
  <si>
    <t>55.9M</t>
  </si>
  <si>
    <t>502.4K</t>
  </si>
  <si>
    <t>724K</t>
  </si>
  <si>
    <t>zacefron</t>
  </si>
  <si>
    <t>53.9M</t>
  </si>
  <si>
    <t>514.9K</t>
  </si>
  <si>
    <t>747.1K</t>
  </si>
  <si>
    <t>antonelaroccuzzo</t>
  </si>
  <si>
    <t>ModelingFamily</t>
  </si>
  <si>
    <t>20M</t>
  </si>
  <si>
    <t>realstraykids</t>
  </si>
  <si>
    <t>21.9M</t>
  </si>
  <si>
    <t>nasa</t>
  </si>
  <si>
    <t>SciencePhotography</t>
  </si>
  <si>
    <t>412.2K</t>
  </si>
  <si>
    <t>496.7K</t>
  </si>
  <si>
    <t>yawnzzn</t>
  </si>
  <si>
    <t>9.6M</t>
  </si>
  <si>
    <t>4.1M</t>
  </si>
  <si>
    <t>chrisevans</t>
  </si>
  <si>
    <t>17M</t>
  </si>
  <si>
    <t>twicetagram</t>
  </si>
  <si>
    <t>MusicModeling</t>
  </si>
  <si>
    <t>26.1M</t>
  </si>
  <si>
    <t>priyankachopra</t>
  </si>
  <si>
    <t>80.2M</t>
  </si>
  <si>
    <t>390.3K</t>
  </si>
  <si>
    <t>471.9K</t>
  </si>
  <si>
    <t>ursulolita</t>
  </si>
  <si>
    <t>Cinema &amp; Actors/actressesModeling</t>
  </si>
  <si>
    <t>24.1M</t>
  </si>
  <si>
    <t>jenniferaniston</t>
  </si>
  <si>
    <t>40.7M</t>
  </si>
  <si>
    <t>628K</t>
  </si>
  <si>
    <t>911.9K</t>
  </si>
  <si>
    <t>hi_high_hiy</t>
  </si>
  <si>
    <t>14.3M</t>
  </si>
  <si>
    <t>addisonraee</t>
  </si>
  <si>
    <t>40.4M</t>
  </si>
  <si>
    <t>579.2K</t>
  </si>
  <si>
    <t>892.3K</t>
  </si>
  <si>
    <t>nike</t>
  </si>
  <si>
    <t>Fitness &amp; GymShopping &amp; RetailClothing &amp; Outfits</t>
  </si>
  <si>
    <t>227.6M</t>
  </si>
  <si>
    <t>123.5K</t>
  </si>
  <si>
    <t>158.4K</t>
  </si>
  <si>
    <t>finnwolfhardofficial</t>
  </si>
  <si>
    <t>24.6M</t>
  </si>
  <si>
    <t>samantharuthprabhuoffl</t>
  </si>
  <si>
    <t>BeautyModelingCinema &amp; Actors/actresses</t>
  </si>
  <si>
    <t>madelame</t>
  </si>
  <si>
    <t>25.4M</t>
  </si>
  <si>
    <t>965.6K</t>
  </si>
  <si>
    <t>miakhalifa</t>
  </si>
  <si>
    <t>Fitness &amp; GymLifestyle</t>
  </si>
  <si>
    <t>27.8M</t>
  </si>
  <si>
    <t>769.7K</t>
  </si>
  <si>
    <t>jannatzubair29</t>
  </si>
  <si>
    <t>43.3M</t>
  </si>
  <si>
    <t>635.3K</t>
  </si>
  <si>
    <t>772.1K</t>
  </si>
  <si>
    <t>katyperry</t>
  </si>
  <si>
    <t>167.2M</t>
  </si>
  <si>
    <t>156.3K</t>
  </si>
  <si>
    <t>200.4K</t>
  </si>
  <si>
    <t>meganfox</t>
  </si>
  <si>
    <t>20.4M</t>
  </si>
  <si>
    <t>973.9K</t>
  </si>
  <si>
    <t>vindiesel</t>
  </si>
  <si>
    <t>81.7M</t>
  </si>
  <si>
    <t>309.8K</t>
  </si>
  <si>
    <t>403.9K</t>
  </si>
  <si>
    <t>kapilsharma</t>
  </si>
  <si>
    <t>Cinema &amp; Actors/actressesShows</t>
  </si>
  <si>
    <t>42M</t>
  </si>
  <si>
    <t>683.8K</t>
  </si>
  <si>
    <t>780.7K</t>
  </si>
  <si>
    <t>camimendes</t>
  </si>
  <si>
    <t>861.5K</t>
  </si>
  <si>
    <t>akshaykumar</t>
  </si>
  <si>
    <t>62.6M</t>
  </si>
  <si>
    <t>428.1K</t>
  </si>
  <si>
    <t>511.5K</t>
  </si>
  <si>
    <t>tyga</t>
  </si>
  <si>
    <t>35.4M</t>
  </si>
  <si>
    <t>604.1K</t>
  </si>
  <si>
    <t>904.1K</t>
  </si>
  <si>
    <t>_jeongjaehyun</t>
  </si>
  <si>
    <t>12.1M</t>
  </si>
  <si>
    <t>ladygaga</t>
  </si>
  <si>
    <t>53.1M</t>
  </si>
  <si>
    <t>426.5K</t>
  </si>
  <si>
    <t>598.8K</t>
  </si>
  <si>
    <t>kritisanon</t>
  </si>
  <si>
    <t>49.7M</t>
  </si>
  <si>
    <t>538.6K</t>
  </si>
  <si>
    <t>626.9K</t>
  </si>
  <si>
    <t>hoooooyeony</t>
  </si>
  <si>
    <t>23.4M</t>
  </si>
  <si>
    <t>1M</t>
  </si>
  <si>
    <t>mrbeast</t>
  </si>
  <si>
    <t>ShowsHumor &amp; Fun &amp; Happiness</t>
  </si>
  <si>
    <t>19M</t>
  </si>
  <si>
    <t>rosalia.vt</t>
  </si>
  <si>
    <t>20.9M</t>
  </si>
  <si>
    <t>shakira</t>
  </si>
  <si>
    <t>75.6M</t>
  </si>
  <si>
    <t>294K</t>
  </si>
  <si>
    <t>400.3K</t>
  </si>
  <si>
    <t>pewdiepie</t>
  </si>
  <si>
    <t>Computers &amp; Gadgets</t>
  </si>
  <si>
    <t>hrithikroshan</t>
  </si>
  <si>
    <t>43.5M</t>
  </si>
  <si>
    <t>540.9K</t>
  </si>
  <si>
    <t>684K</t>
  </si>
  <si>
    <t>madelyncline</t>
  </si>
  <si>
    <t>12.6M</t>
  </si>
  <si>
    <t>hazardeden_10</t>
  </si>
  <si>
    <t>680.8K</t>
  </si>
  <si>
    <t>shraddhakapoor</t>
  </si>
  <si>
    <t>73.4M</t>
  </si>
  <si>
    <t>349K</t>
  </si>
  <si>
    <t>403.7K</t>
  </si>
  <si>
    <t>vinijr</t>
  </si>
  <si>
    <t>21.3M</t>
  </si>
  <si>
    <t>806.7K</t>
  </si>
  <si>
    <t>emrata</t>
  </si>
  <si>
    <t>29.5M</t>
  </si>
  <si>
    <t>606.1K</t>
  </si>
  <si>
    <t>967.7K</t>
  </si>
  <si>
    <t>lanarhoades</t>
  </si>
  <si>
    <t>16.8M</t>
  </si>
  <si>
    <t>britneyspears</t>
  </si>
  <si>
    <t>41.6M</t>
  </si>
  <si>
    <t>494.6K</t>
  </si>
  <si>
    <t>685.6K</t>
  </si>
  <si>
    <t>maluma</t>
  </si>
  <si>
    <t>62.7M</t>
  </si>
  <si>
    <t>294.2K</t>
  </si>
  <si>
    <t>452.1K</t>
  </si>
  <si>
    <t>beingsalmankhan</t>
  </si>
  <si>
    <t>Cinema &amp; Actors/actressesArt/Artists</t>
  </si>
  <si>
    <t>53M</t>
  </si>
  <si>
    <t>417.3K</t>
  </si>
  <si>
    <t>534.9K</t>
  </si>
  <si>
    <t>luisitocomunica</t>
  </si>
  <si>
    <t>Humor &amp; Fun &amp; HappinessClothing &amp; Outfits</t>
  </si>
  <si>
    <t>643.5K</t>
  </si>
  <si>
    <t>852.1K</t>
  </si>
  <si>
    <t>natgeo</t>
  </si>
  <si>
    <t>Nature &amp; landscapesSciencePhotography</t>
  </si>
  <si>
    <t>232.2M</t>
  </si>
  <si>
    <t>91.4K</t>
  </si>
  <si>
    <t>117.8K</t>
  </si>
  <si>
    <t>madisonbeer</t>
  </si>
  <si>
    <t>31.8M</t>
  </si>
  <si>
    <t>571.3K</t>
  </si>
  <si>
    <t>852.4K</t>
  </si>
  <si>
    <t>jacquelinef143</t>
  </si>
  <si>
    <t>62.2M</t>
  </si>
  <si>
    <t>347.8K</t>
  </si>
  <si>
    <t>424.3K</t>
  </si>
  <si>
    <t>garethbale11</t>
  </si>
  <si>
    <t>47.8M</t>
  </si>
  <si>
    <t>342.3K</t>
  </si>
  <si>
    <t>norafatehi</t>
  </si>
  <si>
    <t>Cinema &amp; Actors/actressesMusicShows</t>
  </si>
  <si>
    <t>41.2M</t>
  </si>
  <si>
    <t>507K</t>
  </si>
  <si>
    <t>625.7K</t>
  </si>
  <si>
    <t>sabrinacarpenter</t>
  </si>
  <si>
    <t>27.4M</t>
  </si>
  <si>
    <t>756.6K</t>
  </si>
  <si>
    <t>928.8K</t>
  </si>
  <si>
    <t>marcelotwelve</t>
  </si>
  <si>
    <t>57.2M</t>
  </si>
  <si>
    <t>300.9K</t>
  </si>
  <si>
    <t>446.2K</t>
  </si>
  <si>
    <t>rohittt_09_</t>
  </si>
  <si>
    <t>ShowsLifestyle</t>
  </si>
  <si>
    <t>23.6M</t>
  </si>
  <si>
    <t>753.1K</t>
  </si>
  <si>
    <t>jasonstatham</t>
  </si>
  <si>
    <t>30.7M</t>
  </si>
  <si>
    <t>Iran</t>
  </si>
  <si>
    <t>549.9K</t>
  </si>
  <si>
    <t>811.9K</t>
  </si>
  <si>
    <t>thedeverakonda</t>
  </si>
  <si>
    <t>16M</t>
  </si>
  <si>
    <t>theestallion</t>
  </si>
  <si>
    <t>29.1M</t>
  </si>
  <si>
    <t>486.6K</t>
  </si>
  <si>
    <t>850.2K</t>
  </si>
  <si>
    <t>theweeknd</t>
  </si>
  <si>
    <t>40.3M</t>
  </si>
  <si>
    <t>446.6K</t>
  </si>
  <si>
    <t>607K</t>
  </si>
  <si>
    <t>shahidkapoor</t>
  </si>
  <si>
    <t>35.3M</t>
  </si>
  <si>
    <t>608.7K</t>
  </si>
  <si>
    <t>688.5K</t>
  </si>
  <si>
    <t>elrubiuswtf</t>
  </si>
  <si>
    <t>annehathaway</t>
  </si>
  <si>
    <t>24.4M</t>
  </si>
  <si>
    <t>737.6K</t>
  </si>
  <si>
    <t>972.3K</t>
  </si>
  <si>
    <t>sydney_sweeney</t>
  </si>
  <si>
    <t>LifestyleCinema &amp; Actors/actresses</t>
  </si>
  <si>
    <t>13.6M</t>
  </si>
  <si>
    <t>923.9K</t>
  </si>
  <si>
    <t>erling.haaland</t>
  </si>
  <si>
    <t>LifestyleSports with a ball</t>
  </si>
  <si>
    <t>17.1M</t>
  </si>
  <si>
    <t>909.8K</t>
  </si>
  <si>
    <t>lewishamilton</t>
  </si>
  <si>
    <t>Racing Sports</t>
  </si>
  <si>
    <t>553.7K</t>
  </si>
  <si>
    <t>793.7K</t>
  </si>
  <si>
    <t>hegdepooja</t>
  </si>
  <si>
    <t>20.7M</t>
  </si>
  <si>
    <t>961.1K</t>
  </si>
  <si>
    <t>luissuarez9</t>
  </si>
  <si>
    <t>44.1M</t>
  </si>
  <si>
    <t>347.4K</t>
  </si>
  <si>
    <t>520.8K</t>
  </si>
  <si>
    <t>championsleague</t>
  </si>
  <si>
    <t>95.7M</t>
  </si>
  <si>
    <t>175.8K</t>
  </si>
  <si>
    <t>237.7K</t>
  </si>
  <si>
    <t>50.8M</t>
  </si>
  <si>
    <t>266.7K</t>
  </si>
  <si>
    <t>441.3K</t>
  </si>
  <si>
    <t>eminem</t>
  </si>
  <si>
    <t>36.2M</t>
  </si>
  <si>
    <t>481.3K</t>
  </si>
  <si>
    <t>621.4K</t>
  </si>
  <si>
    <t>rohitsharma45</t>
  </si>
  <si>
    <t>Sports with a ballLifestyle</t>
  </si>
  <si>
    <t>810.3K</t>
  </si>
  <si>
    <t>914.3K</t>
  </si>
  <si>
    <t>zkdlin</t>
  </si>
  <si>
    <t>14.1M</t>
  </si>
  <si>
    <t>sidhu_moosewala</t>
  </si>
  <si>
    <t>10.8M</t>
  </si>
  <si>
    <t>jichangwook</t>
  </si>
  <si>
    <t>20.6M</t>
  </si>
  <si>
    <t>836.5K</t>
  </si>
  <si>
    <t>jamesrodriguez10</t>
  </si>
  <si>
    <t>49.8M</t>
  </si>
  <si>
    <t>Colombia</t>
  </si>
  <si>
    <t>286.1K</t>
  </si>
  <si>
    <t>436.9K</t>
  </si>
  <si>
    <t>na.jaemin0813</t>
  </si>
  <si>
    <t>9.8M</t>
  </si>
  <si>
    <t>greeicy</t>
  </si>
  <si>
    <t>ShowsCinema &amp; Actors/actresses</t>
  </si>
  <si>
    <t>21.2M</t>
  </si>
  <si>
    <t>753.5K</t>
  </si>
  <si>
    <t>emmachamberlain</t>
  </si>
  <si>
    <t>15.9M</t>
  </si>
  <si>
    <t>873.5K</t>
  </si>
  <si>
    <t>evaluna</t>
  </si>
  <si>
    <t>FamilyMusic</t>
  </si>
  <si>
    <t>744.1K</t>
  </si>
  <si>
    <t>henrycavill</t>
  </si>
  <si>
    <t>826.5K</t>
  </si>
  <si>
    <t>carlinhosmaiaof</t>
  </si>
  <si>
    <t>25.8M</t>
  </si>
  <si>
    <t>457.4K</t>
  </si>
  <si>
    <t>837K</t>
  </si>
  <si>
    <t>domelipa</t>
  </si>
  <si>
    <t>18.9M</t>
  </si>
  <si>
    <t>915.5K</t>
  </si>
  <si>
    <t>saraalikhan95</t>
  </si>
  <si>
    <t>518.3K</t>
  </si>
  <si>
    <t>m10_official</t>
  </si>
  <si>
    <t>24.5M</t>
  </si>
  <si>
    <t>617.1K</t>
  </si>
  <si>
    <t>866.6K</t>
  </si>
  <si>
    <t>cznburak</t>
  </si>
  <si>
    <t>Food &amp; Cooking</t>
  </si>
  <si>
    <t>37M</t>
  </si>
  <si>
    <t>418.5K</t>
  </si>
  <si>
    <t>566.2K</t>
  </si>
  <si>
    <t>imhyoseop</t>
  </si>
  <si>
    <t>8.5M</t>
  </si>
  <si>
    <t>vancityreynolds</t>
  </si>
  <si>
    <t>44.5M</t>
  </si>
  <si>
    <t>362.3K</t>
  </si>
  <si>
    <t>467.9K</t>
  </si>
  <si>
    <t>stephencurry30</t>
  </si>
  <si>
    <t>44.7M</t>
  </si>
  <si>
    <t>344.3K</t>
  </si>
  <si>
    <t>462.1K</t>
  </si>
  <si>
    <t>strangerthingstv</t>
  </si>
  <si>
    <t>20.5M</t>
  </si>
  <si>
    <t>727.5K</t>
  </si>
  <si>
    <t>974K</t>
  </si>
  <si>
    <t>justintimberlake</t>
  </si>
  <si>
    <t>MusicArt/ArtistsCinema &amp; Actors/actresses</t>
  </si>
  <si>
    <t>65.5M</t>
  </si>
  <si>
    <t>226.5K</t>
  </si>
  <si>
    <t>299.5K</t>
  </si>
  <si>
    <t>feliciathegoat</t>
  </si>
  <si>
    <t>13M</t>
  </si>
  <si>
    <t>911.4K</t>
  </si>
  <si>
    <t>haileesteinfeld</t>
  </si>
  <si>
    <t>19.1M</t>
  </si>
  <si>
    <t>796.2K</t>
  </si>
  <si>
    <t>lukamodric10</t>
  </si>
  <si>
    <t>24.3M</t>
  </si>
  <si>
    <t>537.8K</t>
  </si>
  <si>
    <t>787.4K</t>
  </si>
  <si>
    <t>renebaebae</t>
  </si>
  <si>
    <t>10.7M</t>
  </si>
  <si>
    <t>do0_nct</t>
  </si>
  <si>
    <t>10.3M</t>
  </si>
  <si>
    <t>paulpogba</t>
  </si>
  <si>
    <t>54.7M</t>
  </si>
  <si>
    <t>190.8K</t>
  </si>
  <si>
    <t>339.5K</t>
  </si>
  <si>
    <t>heybiblee</t>
  </si>
  <si>
    <t>926.6K</t>
  </si>
  <si>
    <t>sergioramos</t>
  </si>
  <si>
    <t>52.3M</t>
  </si>
  <si>
    <t>222.1K</t>
  </si>
  <si>
    <t>343K</t>
  </si>
  <si>
    <t>nattinatasha</t>
  </si>
  <si>
    <t>35.9M</t>
  </si>
  <si>
    <t>417.9K</t>
  </si>
  <si>
    <t>502.2K</t>
  </si>
  <si>
    <t>awez_darbar</t>
  </si>
  <si>
    <t>21.4M</t>
  </si>
  <si>
    <t>694.6K</t>
  </si>
  <si>
    <t>831.4K</t>
  </si>
  <si>
    <t>bizarrap</t>
  </si>
  <si>
    <t>13.5M</t>
  </si>
  <si>
    <t>nina</t>
  </si>
  <si>
    <t>25.7M</t>
  </si>
  <si>
    <t>479.9K</t>
  </si>
  <si>
    <t>687.6K</t>
  </si>
  <si>
    <t>leedongwook_official</t>
  </si>
  <si>
    <t>14.6M</t>
  </si>
  <si>
    <t>904.6K</t>
  </si>
  <si>
    <t>_imyour_joy</t>
  </si>
  <si>
    <t>14M</t>
  </si>
  <si>
    <t>bambam1a</t>
  </si>
  <si>
    <t>16.6M</t>
  </si>
  <si>
    <t>840.2K</t>
  </si>
  <si>
    <t>anuel</t>
  </si>
  <si>
    <t>28.8M</t>
  </si>
  <si>
    <t>399.2K</t>
  </si>
  <si>
    <t>613.7K</t>
  </si>
  <si>
    <t>momo</t>
  </si>
  <si>
    <t>zidane</t>
  </si>
  <si>
    <t>33.1M</t>
  </si>
  <si>
    <t>379.8K</t>
  </si>
  <si>
    <t>517.9K</t>
  </si>
  <si>
    <t>marshmello</t>
  </si>
  <si>
    <t>hardikpandya93</t>
  </si>
  <si>
    <t>21.7M</t>
  </si>
  <si>
    <t>625.4K</t>
  </si>
  <si>
    <t>784.1K</t>
  </si>
  <si>
    <t>sza</t>
  </si>
  <si>
    <t>12.3M</t>
  </si>
  <si>
    <t>819.7K</t>
  </si>
  <si>
    <t>zachking</t>
  </si>
  <si>
    <t>447K</t>
  </si>
  <si>
    <t>687.7K</t>
  </si>
  <si>
    <t>anitta</t>
  </si>
  <si>
    <t>62.9M</t>
  </si>
  <si>
    <t>145.8K</t>
  </si>
  <si>
    <t>269.5K</t>
  </si>
  <si>
    <t>liluzivert</t>
  </si>
  <si>
    <t>16.1M</t>
  </si>
  <si>
    <t>568.5K</t>
  </si>
  <si>
    <t>kartikaaryan</t>
  </si>
  <si>
    <t>25.5M</t>
  </si>
  <si>
    <t>523.3K</t>
  </si>
  <si>
    <t>651K</t>
  </si>
  <si>
    <t>louist91</t>
  </si>
  <si>
    <t>18.5M</t>
  </si>
  <si>
    <t>658.4K</t>
  </si>
  <si>
    <t>901.1K</t>
  </si>
  <si>
    <t>nehakakkar</t>
  </si>
  <si>
    <t>70.4M</t>
  </si>
  <si>
    <t>199.6K</t>
  </si>
  <si>
    <t>231.8K</t>
  </si>
  <si>
    <t>iamhalsey</t>
  </si>
  <si>
    <t>410K</t>
  </si>
  <si>
    <t>539K</t>
  </si>
  <si>
    <t>thenameisyash</t>
  </si>
  <si>
    <t>10.9M</t>
  </si>
  <si>
    <t>davidbeckham</t>
  </si>
  <si>
    <t>FamilySports with a ball</t>
  </si>
  <si>
    <t>74.5M</t>
  </si>
  <si>
    <t>169K</t>
  </si>
  <si>
    <t>217.1K</t>
  </si>
  <si>
    <t>janhvikapoor</t>
  </si>
  <si>
    <t>17.7M</t>
  </si>
  <si>
    <t>762.3K</t>
  </si>
  <si>
    <t>910.2K</t>
  </si>
  <si>
    <t>lilbaby</t>
  </si>
  <si>
    <t>19.8M</t>
  </si>
  <si>
    <t>442.1K</t>
  </si>
  <si>
    <t>815.8K</t>
  </si>
  <si>
    <t>onyourm__ark</t>
  </si>
  <si>
    <t>9M</t>
  </si>
  <si>
    <t>bbrightvc</t>
  </si>
  <si>
    <t>15.5M</t>
  </si>
  <si>
    <t>851.2K</t>
  </si>
  <si>
    <t>9.1M</t>
  </si>
  <si>
    <t>riaricis1795</t>
  </si>
  <si>
    <t>31.3M</t>
  </si>
  <si>
    <t>412.3K</t>
  </si>
  <si>
    <t>504.4K</t>
  </si>
  <si>
    <t>hannahstocking</t>
  </si>
  <si>
    <t>22.1M</t>
  </si>
  <si>
    <t>493.5K</t>
  </si>
  <si>
    <t>699.8K</t>
  </si>
  <si>
    <t>iansomerhalder</t>
  </si>
  <si>
    <t>23.1M</t>
  </si>
  <si>
    <t>668.3K</t>
  </si>
  <si>
    <t>somsomi0309</t>
  </si>
  <si>
    <t>15.1M</t>
  </si>
  <si>
    <t>808.8K</t>
  </si>
  <si>
    <t>mirella</t>
  </si>
  <si>
    <t>27.2M</t>
  </si>
  <si>
    <t>265.4K</t>
  </si>
  <si>
    <t>560.6K</t>
  </si>
  <si>
    <t>iamferv</t>
  </si>
  <si>
    <t>LifestyleArt/Artists</t>
  </si>
  <si>
    <t>10M</t>
  </si>
  <si>
    <t>skuukzky</t>
  </si>
  <si>
    <t>Clothing &amp; OutfitsMusic</t>
  </si>
  <si>
    <t>17.9M</t>
  </si>
  <si>
    <t>678.7K</t>
  </si>
  <si>
    <t>837.2K</t>
  </si>
  <si>
    <t>anushkasen0408</t>
  </si>
  <si>
    <t>38M</t>
  </si>
  <si>
    <t>336.7K</t>
  </si>
  <si>
    <t>393.2K</t>
  </si>
  <si>
    <t>kunaguero</t>
  </si>
  <si>
    <t>23.5M</t>
  </si>
  <si>
    <t>363.4K</t>
  </si>
  <si>
    <t>628.4K</t>
  </si>
  <si>
    <t>psg</t>
  </si>
  <si>
    <t>61.2M</t>
  </si>
  <si>
    <t>143.2K</t>
  </si>
  <si>
    <t>240.5K</t>
  </si>
  <si>
    <t>mr_faisu_07</t>
  </si>
  <si>
    <t>ModelingCinema &amp; Actors/actresses</t>
  </si>
  <si>
    <t>27.9M</t>
  </si>
  <si>
    <t>418.7K</t>
  </si>
  <si>
    <t>535.5K</t>
  </si>
  <si>
    <t>larasilva</t>
  </si>
  <si>
    <t>ShowsAdult content</t>
  </si>
  <si>
    <t>17.4M</t>
  </si>
  <si>
    <t>551.2K</t>
  </si>
  <si>
    <t>850.1K</t>
  </si>
  <si>
    <t>paulolondra</t>
  </si>
  <si>
    <t>13.8M</t>
  </si>
  <si>
    <t>678.8K</t>
  </si>
  <si>
    <t>winmetawin</t>
  </si>
  <si>
    <t>Philippines</t>
  </si>
  <si>
    <t>938.2K</t>
  </si>
  <si>
    <t>taeoxo_nct</t>
  </si>
  <si>
    <t>9.4M</t>
  </si>
  <si>
    <t>tinistoessel</t>
  </si>
  <si>
    <t>18.3M</t>
  </si>
  <si>
    <t>592.3K</t>
  </si>
  <si>
    <t>klrahul</t>
  </si>
  <si>
    <t>12.9M</t>
  </si>
  <si>
    <t>872.1K</t>
  </si>
  <si>
    <t>hero_ft</t>
  </si>
  <si>
    <t>7.6M</t>
  </si>
  <si>
    <t>johnnyjsuh</t>
  </si>
  <si>
    <t>8.7M</t>
  </si>
  <si>
    <t>carryminati</t>
  </si>
  <si>
    <t>Computers &amp; GadgetsMachinery &amp; Technologies</t>
  </si>
  <si>
    <t>752.5K</t>
  </si>
  <si>
    <t>885.8K</t>
  </si>
  <si>
    <t>jessicah_o</t>
  </si>
  <si>
    <t>909.2K</t>
  </si>
  <si>
    <t>samoylovaoxana</t>
  </si>
  <si>
    <t>FamilyLifestyle</t>
  </si>
  <si>
    <t>15.2M</t>
  </si>
  <si>
    <t>679.4K</t>
  </si>
  <si>
    <t>923.3K</t>
  </si>
  <si>
    <t>colesprouse</t>
  </si>
  <si>
    <t>292.1K</t>
  </si>
  <si>
    <t>382.5K</t>
  </si>
  <si>
    <t>tigerjackieshroff</t>
  </si>
  <si>
    <t>315.2K</t>
  </si>
  <si>
    <t>385.9K</t>
  </si>
  <si>
    <t>m.by__sana</t>
  </si>
  <si>
    <t>holyhaein</t>
  </si>
  <si>
    <t>10.2M</t>
  </si>
  <si>
    <t>manurios</t>
  </si>
  <si>
    <t>Shows</t>
  </si>
  <si>
    <t>11.1M</t>
  </si>
  <si>
    <t>711.7K</t>
  </si>
  <si>
    <t>mina_sr_my</t>
  </si>
  <si>
    <t>juandediospantoja</t>
  </si>
  <si>
    <t>22.3M</t>
  </si>
  <si>
    <t>517.7K</t>
  </si>
  <si>
    <t>591.2K</t>
  </si>
  <si>
    <t>rauwalejandro</t>
  </si>
  <si>
    <t>15M</t>
  </si>
  <si>
    <t>605.4K</t>
  </si>
  <si>
    <t>876K</t>
  </si>
  <si>
    <t>luvadepedreiro</t>
  </si>
  <si>
    <t>15.3M</t>
  </si>
  <si>
    <t>377.5K</t>
  </si>
  <si>
    <t>855.4K</t>
  </si>
  <si>
    <t>ronaldinho</t>
  </si>
  <si>
    <t>67.4M</t>
  </si>
  <si>
    <t>108.8K</t>
  </si>
  <si>
    <t>192.3K</t>
  </si>
  <si>
    <t>avneetkaur_13</t>
  </si>
  <si>
    <t>329.9K</t>
  </si>
  <si>
    <t>402.5K</t>
  </si>
  <si>
    <t>xeesoxee</t>
  </si>
  <si>
    <t>9.3M</t>
  </si>
  <si>
    <t>daddyyankee</t>
  </si>
  <si>
    <t>204.4K</t>
  </si>
  <si>
    <t>284.4K</t>
  </si>
  <si>
    <t>iambeckyg</t>
  </si>
  <si>
    <t>32.8M</t>
  </si>
  <si>
    <t>324.2K</t>
  </si>
  <si>
    <t>389.7K</t>
  </si>
  <si>
    <t>xxxibgdrgn</t>
  </si>
  <si>
    <t>PhotographyFashion</t>
  </si>
  <si>
    <t>475.6K</t>
  </si>
  <si>
    <t>602.8K</t>
  </si>
  <si>
    <t>ileana_official</t>
  </si>
  <si>
    <t>14.9M</t>
  </si>
  <si>
    <t>702.1K</t>
  </si>
  <si>
    <t>852.8K</t>
  </si>
  <si>
    <t>taeyeon_ss</t>
  </si>
  <si>
    <t>18.7M</t>
  </si>
  <si>
    <t>559.6K</t>
  </si>
  <si>
    <t>681.1K</t>
  </si>
  <si>
    <t>sunnyleone</t>
  </si>
  <si>
    <t>BeautyCinema &amp; Actors/actresses</t>
  </si>
  <si>
    <t>177.1K</t>
  </si>
  <si>
    <t>238.7K</t>
  </si>
  <si>
    <t>soohyun_k216</t>
  </si>
  <si>
    <t>13.7M</t>
  </si>
  <si>
    <t>753.3K</t>
  </si>
  <si>
    <t>918.1K</t>
  </si>
  <si>
    <t>keniaos</t>
  </si>
  <si>
    <t>712.4K</t>
  </si>
  <si>
    <t>926.9K</t>
  </si>
  <si>
    <t>maisa</t>
  </si>
  <si>
    <t>44M</t>
  </si>
  <si>
    <t>210.6K</t>
  </si>
  <si>
    <t>284.7K</t>
  </si>
  <si>
    <t>vickykaushal09</t>
  </si>
  <si>
    <t>752.9K</t>
  </si>
  <si>
    <t>883.9K</t>
  </si>
  <si>
    <t>riyaz.14</t>
  </si>
  <si>
    <t>27.3M</t>
  </si>
  <si>
    <t>353.4K</t>
  </si>
  <si>
    <t>460.1K</t>
  </si>
  <si>
    <t>sachintendulkar</t>
  </si>
  <si>
    <t>35.1M</t>
  </si>
  <si>
    <t>289.9K</t>
  </si>
  <si>
    <t>346.5K</t>
  </si>
  <si>
    <t>layzhang</t>
  </si>
  <si>
    <t>14.2M</t>
  </si>
  <si>
    <t>814.8K</t>
  </si>
  <si>
    <t>865.9K</t>
  </si>
  <si>
    <t>varundvn</t>
  </si>
  <si>
    <t>43.2M</t>
  </si>
  <si>
    <t>227.7K</t>
  </si>
  <si>
    <t>279.5K</t>
  </si>
  <si>
    <t>trippieredd</t>
  </si>
  <si>
    <t>13.1M</t>
  </si>
  <si>
    <t>472.5K</t>
  </si>
  <si>
    <t>926K</t>
  </si>
  <si>
    <t>clean_0828</t>
  </si>
  <si>
    <t>8M</t>
  </si>
  <si>
    <t>nayeonyny</t>
  </si>
  <si>
    <t>angelrai07</t>
  </si>
  <si>
    <t>Humor &amp; Fun &amp; Happiness</t>
  </si>
  <si>
    <t>487.2K</t>
  </si>
  <si>
    <t>587.5K</t>
  </si>
  <si>
    <t>chaeyo.0</t>
  </si>
  <si>
    <t>liampayne</t>
  </si>
  <si>
    <t>350.9K</t>
  </si>
  <si>
    <t>489.8K</t>
  </si>
  <si>
    <t>lomon991111</t>
  </si>
  <si>
    <t>hi_sseulgi</t>
  </si>
  <si>
    <t>12.5M</t>
  </si>
  <si>
    <t>743.9K</t>
  </si>
  <si>
    <t>932.8K</t>
  </si>
  <si>
    <t>charlieputh</t>
  </si>
  <si>
    <t>16.5M</t>
  </si>
  <si>
    <t>491.1K</t>
  </si>
  <si>
    <t>697.7K</t>
  </si>
  <si>
    <t>ashishchanchlani</t>
  </si>
  <si>
    <t>638.4K</t>
  </si>
  <si>
    <t>780.4K</t>
  </si>
  <si>
    <t>iammichelemorroneofficial</t>
  </si>
  <si>
    <t>LifestyleCinema &amp; Actors/actressesMusic</t>
  </si>
  <si>
    <t>534.7K</t>
  </si>
  <si>
    <t>766.6K</t>
  </si>
  <si>
    <t>_zyozyo</t>
  </si>
  <si>
    <t>anguscloud</t>
  </si>
  <si>
    <t>8.2M</t>
  </si>
  <si>
    <t>831K</t>
  </si>
  <si>
    <t>shaymitchell</t>
  </si>
  <si>
    <t>BeautyFamilyLifestyle</t>
  </si>
  <si>
    <t>33.8M</t>
  </si>
  <si>
    <t>234.1K</t>
  </si>
  <si>
    <t>326.7K</t>
  </si>
  <si>
    <t>kiaraaliaadvani</t>
  </si>
  <si>
    <t>400.5K</t>
  </si>
  <si>
    <t>453.7K</t>
  </si>
  <si>
    <t>krisjenner</t>
  </si>
  <si>
    <t>ShowsBeautyFamily</t>
  </si>
  <si>
    <t>148.3K</t>
  </si>
  <si>
    <t>224.2K</t>
  </si>
  <si>
    <t>perrieedwards</t>
  </si>
  <si>
    <t>452.3K</t>
  </si>
  <si>
    <t>705.7K</t>
  </si>
  <si>
    <t>yaocabrera</t>
  </si>
  <si>
    <t>Computers &amp; GadgetsBusiness &amp; Careers</t>
  </si>
  <si>
    <t>14.7M</t>
  </si>
  <si>
    <t>741.5K</t>
  </si>
  <si>
    <t>tenlee_1001</t>
  </si>
  <si>
    <t>877.3K</t>
  </si>
  <si>
    <t>min9yu_k</t>
  </si>
  <si>
    <t>alexandradaddario</t>
  </si>
  <si>
    <t>22.6M</t>
  </si>
  <si>
    <t>388.3K</t>
  </si>
  <si>
    <t>475.1K</t>
  </si>
  <si>
    <t>alidaei</t>
  </si>
  <si>
    <t>739.5K</t>
  </si>
  <si>
    <t>gatenm123</t>
  </si>
  <si>
    <t>MusicCinema &amp; Actors/actressesFashion</t>
  </si>
  <si>
    <t>474.8K</t>
  </si>
  <si>
    <t>626.7K</t>
  </si>
  <si>
    <t>Business &amp; Careers</t>
  </si>
  <si>
    <t>_rl9</t>
  </si>
  <si>
    <t>26.8M</t>
  </si>
  <si>
    <t>Poland</t>
  </si>
  <si>
    <t>312.5K</t>
  </si>
  <si>
    <t>397.1K</t>
  </si>
  <si>
    <t>bighit_ent</t>
  </si>
  <si>
    <t>660.3K</t>
  </si>
  <si>
    <t>813.9K</t>
  </si>
  <si>
    <t>kimjuncotton</t>
  </si>
  <si>
    <t>859.1K</t>
  </si>
  <si>
    <t>whinderssonnunes</t>
  </si>
  <si>
    <t>58.6M</t>
  </si>
  <si>
    <t>114.5K</t>
  </si>
  <si>
    <t>179.4K</t>
  </si>
  <si>
    <t>jy_piece</t>
  </si>
  <si>
    <t>imsebastianstan</t>
  </si>
  <si>
    <t>933.1K</t>
  </si>
  <si>
    <t>therealcalebmclaughlin</t>
  </si>
  <si>
    <t>493.3K</t>
  </si>
  <si>
    <t>724.2K</t>
  </si>
  <si>
    <t>nct</t>
  </si>
  <si>
    <t>541.4K</t>
  </si>
  <si>
    <t>709.2K</t>
  </si>
  <si>
    <t>yuu_taa_1026</t>
  </si>
  <si>
    <t>8.4M</t>
  </si>
  <si>
    <t>950.4K</t>
  </si>
  <si>
    <t>m_kayoung</t>
  </si>
  <si>
    <t>930.3K</t>
  </si>
  <si>
    <t>yellow_3to3</t>
  </si>
  <si>
    <t>5.9M</t>
  </si>
  <si>
    <t>_mariahwasa</t>
  </si>
  <si>
    <t>973.8K</t>
  </si>
  <si>
    <t>rudeth</t>
  </si>
  <si>
    <t>6.5M</t>
  </si>
  <si>
    <t>mont.pantoja</t>
  </si>
  <si>
    <t>12M</t>
  </si>
  <si>
    <t>699.7K</t>
  </si>
  <si>
    <t>832.7K</t>
  </si>
  <si>
    <t>mariaalice</t>
  </si>
  <si>
    <t>667.5K</t>
  </si>
  <si>
    <t>enhypen</t>
  </si>
  <si>
    <t>10.5M</t>
  </si>
  <si>
    <t>678.9K</t>
  </si>
  <si>
    <t>952.4K</t>
  </si>
  <si>
    <t>realbarbarapalvin</t>
  </si>
  <si>
    <t>412.1K</t>
  </si>
  <si>
    <t>556K</t>
  </si>
  <si>
    <t>marktuan</t>
  </si>
  <si>
    <t>MusicCinema &amp; Actors/actressesModeling</t>
  </si>
  <si>
    <t>12.8M</t>
  </si>
  <si>
    <t>Thailand</t>
  </si>
  <si>
    <t>590.8K</t>
  </si>
  <si>
    <t>776.3K</t>
  </si>
  <si>
    <t>maudyayunda</t>
  </si>
  <si>
    <t>16.9M</t>
  </si>
  <si>
    <t>394.8K</t>
  </si>
  <si>
    <t>581.3K</t>
  </si>
  <si>
    <t>bretmanrock</t>
  </si>
  <si>
    <t>Art/ArtistsBeauty</t>
  </si>
  <si>
    <t>18.4M</t>
  </si>
  <si>
    <t>315.5K</t>
  </si>
  <si>
    <t>531K</t>
  </si>
  <si>
    <t>elrodrigocontreras</t>
  </si>
  <si>
    <t>684.5K</t>
  </si>
  <si>
    <t>754.7K</t>
  </si>
  <si>
    <t>nct127</t>
  </si>
  <si>
    <t>555.1K</t>
  </si>
  <si>
    <t>685.8K</t>
  </si>
  <si>
    <t>wwiinn_7</t>
  </si>
  <si>
    <t>lizasoberano</t>
  </si>
  <si>
    <t>BeautyCinema &amp; Actors/actressesModeling</t>
  </si>
  <si>
    <t>17.3M</t>
  </si>
  <si>
    <t>467.4K</t>
  </si>
  <si>
    <t>557.7K</t>
  </si>
  <si>
    <t>bellapoarch</t>
  </si>
  <si>
    <t>502.1K</t>
  </si>
  <si>
    <t>677.8K</t>
  </si>
  <si>
    <t>bhuvan.bam22</t>
  </si>
  <si>
    <t>14.8M</t>
  </si>
  <si>
    <t>525.4K</t>
  </si>
  <si>
    <t>650K</t>
  </si>
  <si>
    <t>txt_bighit</t>
  </si>
  <si>
    <t>Family</t>
  </si>
  <si>
    <t>604.8K</t>
  </si>
  <si>
    <t>763K</t>
  </si>
  <si>
    <t>dahhyunnee</t>
  </si>
  <si>
    <t>5.3M</t>
  </si>
  <si>
    <t>jamescharles</t>
  </si>
  <si>
    <t>22.9M</t>
  </si>
  <si>
    <t>282.8K</t>
  </si>
  <si>
    <t>414K</t>
  </si>
  <si>
    <t>taehyung.bighitentertainment</t>
  </si>
  <si>
    <t>Management &amp; MarketingMusic</t>
  </si>
  <si>
    <t>909.7K</t>
  </si>
  <si>
    <t>960.7K</t>
  </si>
  <si>
    <t>postmalone</t>
  </si>
  <si>
    <t>22.4M</t>
  </si>
  <si>
    <t>274.8K</t>
  </si>
  <si>
    <t>420.2K</t>
  </si>
  <si>
    <t>ssinz7</t>
  </si>
  <si>
    <t>555.7K</t>
  </si>
  <si>
    <t>683.1K</t>
  </si>
  <si>
    <t>o.dembele7</t>
  </si>
  <si>
    <t>503.1K</t>
  </si>
  <si>
    <t>862.3K</t>
  </si>
  <si>
    <t>ranveersingh</t>
  </si>
  <si>
    <t>Cinema &amp; Actors/actressesModelingClothing &amp; Outfits</t>
  </si>
  <si>
    <t>40.1M</t>
  </si>
  <si>
    <t>179.2K</t>
  </si>
  <si>
    <t>233.4K</t>
  </si>
  <si>
    <t>jinyoung_0922jy</t>
  </si>
  <si>
    <t>725.8K</t>
  </si>
  <si>
    <t>959.7K</t>
  </si>
  <si>
    <t>luisasonza</t>
  </si>
  <si>
    <t>198.7K</t>
  </si>
  <si>
    <t>315.7K</t>
  </si>
  <si>
    <t>bellathorne</t>
  </si>
  <si>
    <t>MusicArt/Artists</t>
  </si>
  <si>
    <t>217.3K</t>
  </si>
  <si>
    <t>365K</t>
  </si>
  <si>
    <t>ksi</t>
  </si>
  <si>
    <t>11.6M</t>
  </si>
  <si>
    <t>United Kingdom</t>
  </si>
  <si>
    <t>565.8K</t>
  </si>
  <si>
    <t>794K</t>
  </si>
  <si>
    <t>kevindebruyne</t>
  </si>
  <si>
    <t>18M</t>
  </si>
  <si>
    <t>322.4K</t>
  </si>
  <si>
    <t>499.5K</t>
  </si>
  <si>
    <t>marvel</t>
  </si>
  <si>
    <t>Cinema &amp; Actors/actressesComics &amp; sketchesShows</t>
  </si>
  <si>
    <t>65.4M</t>
  </si>
  <si>
    <t>115.9K</t>
  </si>
  <si>
    <t>136.6K</t>
  </si>
  <si>
    <t>arigameplays</t>
  </si>
  <si>
    <t>11M</t>
  </si>
  <si>
    <t>669.1K</t>
  </si>
  <si>
    <t>803.9K</t>
  </si>
  <si>
    <t>fedez</t>
  </si>
  <si>
    <t>449.7K</t>
  </si>
  <si>
    <t>622.1K</t>
  </si>
  <si>
    <t>prattprattpratt</t>
  </si>
  <si>
    <t>180.7K</t>
  </si>
  <si>
    <t>235.1K</t>
  </si>
  <si>
    <t>itzy.all.in.us</t>
  </si>
  <si>
    <t>17.2M</t>
  </si>
  <si>
    <t>414.3K</t>
  </si>
  <si>
    <t>507.3K</t>
  </si>
  <si>
    <t>lestykejora</t>
  </si>
  <si>
    <t>263K</t>
  </si>
  <si>
    <t>339K</t>
  </si>
  <si>
    <t>jbalvin</t>
  </si>
  <si>
    <t>52.8M</t>
  </si>
  <si>
    <t>125K</t>
  </si>
  <si>
    <t>163.6K</t>
  </si>
  <si>
    <t>kehlani</t>
  </si>
  <si>
    <t>MusicFamily</t>
  </si>
  <si>
    <t>392.3K</t>
  </si>
  <si>
    <t>611.8K</t>
  </si>
  <si>
    <t>manchesterunited</t>
  </si>
  <si>
    <t>59M</t>
  </si>
  <si>
    <t>92.3K</t>
  </si>
  <si>
    <t>145.2K</t>
  </si>
  <si>
    <t>peytonlist</t>
  </si>
  <si>
    <t>20.2M</t>
  </si>
  <si>
    <t>281.8K</t>
  </si>
  <si>
    <t>422.7K</t>
  </si>
  <si>
    <t>wi__wi__wi</t>
  </si>
  <si>
    <t>10.1M</t>
  </si>
  <si>
    <t>691.6K</t>
  </si>
  <si>
    <t>832.2K</t>
  </si>
  <si>
    <t>dixiedamelio</t>
  </si>
  <si>
    <t>MusicClothing &amp; Outfits</t>
  </si>
  <si>
    <t>25M</t>
  </si>
  <si>
    <t>228.9K</t>
  </si>
  <si>
    <t>335.5K</t>
  </si>
  <si>
    <t>vinniehacker</t>
  </si>
  <si>
    <t>695.7K</t>
  </si>
  <si>
    <t>madhuridixitnene</t>
  </si>
  <si>
    <t>32M</t>
  </si>
  <si>
    <t>225.3K</t>
  </si>
  <si>
    <t>259.6K</t>
  </si>
  <si>
    <t>mathildtantot</t>
  </si>
  <si>
    <t>533.1K</t>
  </si>
  <si>
    <t>807K</t>
  </si>
  <si>
    <t>keerthysureshofficial</t>
  </si>
  <si>
    <t>FashionCinema &amp; Actors/actresses</t>
  </si>
  <si>
    <t>13.4M</t>
  </si>
  <si>
    <t>539.3K</t>
  </si>
  <si>
    <t>616.3K</t>
  </si>
  <si>
    <t>ibaillanos</t>
  </si>
  <si>
    <t>7.8M</t>
  </si>
  <si>
    <t>725.4K</t>
  </si>
  <si>
    <t>easymoneysniper</t>
  </si>
  <si>
    <t>325.4K</t>
  </si>
  <si>
    <t>610.9K</t>
  </si>
  <si>
    <t>michelleobama</t>
  </si>
  <si>
    <t>Finance &amp; EconomicsBusiness &amp; CareersFamily</t>
  </si>
  <si>
    <t>50.3M</t>
  </si>
  <si>
    <t>144.7K</t>
  </si>
  <si>
    <t>159.8K</t>
  </si>
  <si>
    <t>ross_lynch</t>
  </si>
  <si>
    <t>392.6K</t>
  </si>
  <si>
    <t>783.8K</t>
  </si>
  <si>
    <t>attahalilintar</t>
  </si>
  <si>
    <t>Art/ArtistsShows</t>
  </si>
  <si>
    <t>23.9M</t>
  </si>
  <si>
    <t>243.2K</t>
  </si>
  <si>
    <t>333.3K</t>
  </si>
  <si>
    <t>lizgillz</t>
  </si>
  <si>
    <t>389.5K</t>
  </si>
  <si>
    <t>563.7K</t>
  </si>
  <si>
    <t>cbum</t>
  </si>
  <si>
    <t>Fitness &amp; Gym</t>
  </si>
  <si>
    <t>542K</t>
  </si>
  <si>
    <t>895K</t>
  </si>
  <si>
    <t>hassan_reyvandi</t>
  </si>
  <si>
    <t>Cinema &amp; Actors/actressesHumor &amp; Fun &amp; Happiness</t>
  </si>
  <si>
    <t>19.5M</t>
  </si>
  <si>
    <t>296.5K</t>
  </si>
  <si>
    <t>410.2K</t>
  </si>
  <si>
    <t>nicki.nicole</t>
  </si>
  <si>
    <t>12.2M</t>
  </si>
  <si>
    <t>439K</t>
  </si>
  <si>
    <t>649.5K</t>
  </si>
  <si>
    <t>demirose</t>
  </si>
  <si>
    <t>ModelingLifestyleFashion</t>
  </si>
  <si>
    <t>19.9M</t>
  </si>
  <si>
    <t>305.4K</t>
  </si>
  <si>
    <t>398.2K</t>
  </si>
  <si>
    <t>natashawilona12</t>
  </si>
  <si>
    <t>38.9M</t>
  </si>
  <si>
    <t>170.1K</t>
  </si>
  <si>
    <t>200.7K</t>
  </si>
  <si>
    <t>lexibrookerivera</t>
  </si>
  <si>
    <t>765K</t>
  </si>
  <si>
    <t>956.8K</t>
  </si>
  <si>
    <t>thebursin</t>
  </si>
  <si>
    <t>567.8K</t>
  </si>
  <si>
    <t>imouniroy</t>
  </si>
  <si>
    <t>267.8K</t>
  </si>
  <si>
    <t>324.4K</t>
  </si>
  <si>
    <t>yasmine_sabri</t>
  </si>
  <si>
    <t>19.4M</t>
  </si>
  <si>
    <t>401.7K</t>
  </si>
  <si>
    <t>kevinhart4real</t>
  </si>
  <si>
    <t>148.8M</t>
  </si>
  <si>
    <t>35.5K</t>
  </si>
  <si>
    <t>52.3K</t>
  </si>
  <si>
    <t>sidmalhotra</t>
  </si>
  <si>
    <t>311.5K</t>
  </si>
  <si>
    <t>387.1K</t>
  </si>
  <si>
    <t>sommerray</t>
  </si>
  <si>
    <t>26.5M</t>
  </si>
  <si>
    <t>184.7K</t>
  </si>
  <si>
    <t>289.8K</t>
  </si>
  <si>
    <t>brunamarquezine</t>
  </si>
  <si>
    <t>43.1M</t>
  </si>
  <si>
    <t>105.1K</t>
  </si>
  <si>
    <t>181.8K</t>
  </si>
  <si>
    <t>miguel.g.herran</t>
  </si>
  <si>
    <t>362.2K</t>
  </si>
  <si>
    <t>545.5K</t>
  </si>
  <si>
    <t>louispartridge_</t>
  </si>
  <si>
    <t>691.5K</t>
  </si>
  <si>
    <t>pubity</t>
  </si>
  <si>
    <t>166K</t>
  </si>
  <si>
    <t>241.7K</t>
  </si>
  <si>
    <t>taina</t>
  </si>
  <si>
    <t>227.9K</t>
  </si>
  <si>
    <t>475.5K</t>
  </si>
  <si>
    <t>alok</t>
  </si>
  <si>
    <t>27.7M</t>
  </si>
  <si>
    <t>215K</t>
  </si>
  <si>
    <t>275.5K</t>
  </si>
  <si>
    <t>camilo</t>
  </si>
  <si>
    <t>27.5M</t>
  </si>
  <si>
    <t>173.6K</t>
  </si>
  <si>
    <t>275.4K</t>
  </si>
  <si>
    <t>alwaysramcharan</t>
  </si>
  <si>
    <t>8.1M</t>
  </si>
  <si>
    <t>842.7K</t>
  </si>
  <si>
    <t>944K</t>
  </si>
  <si>
    <t>lilyjcollins</t>
  </si>
  <si>
    <t>186.7K</t>
  </si>
  <si>
    <t>277.6K</t>
  </si>
  <si>
    <t>lilnasx</t>
  </si>
  <si>
    <t>358.9K</t>
  </si>
  <si>
    <t>600.8K</t>
  </si>
  <si>
    <t>sportscenter</t>
  </si>
  <si>
    <t>Sports with a ballShows</t>
  </si>
  <si>
    <t>132.9K</t>
  </si>
  <si>
    <t>239.6K</t>
  </si>
  <si>
    <t>phil.coutinho</t>
  </si>
  <si>
    <t>182.8K</t>
  </si>
  <si>
    <t>297.7K</t>
  </si>
  <si>
    <t>thenotoriousmma</t>
  </si>
  <si>
    <t>110.9K</t>
  </si>
  <si>
    <t>162.9K</t>
  </si>
  <si>
    <t>ms_puiyi</t>
  </si>
  <si>
    <t>Adult content</t>
  </si>
  <si>
    <t>309.1K</t>
  </si>
  <si>
    <t>395.8K</t>
  </si>
  <si>
    <t>mo.on_air</t>
  </si>
  <si>
    <t>nickjonas</t>
  </si>
  <si>
    <t>155.5K</t>
  </si>
  <si>
    <t>222.3K</t>
  </si>
  <si>
    <t>hyunah_aa</t>
  </si>
  <si>
    <t>18.1M</t>
  </si>
  <si>
    <t>339.4K</t>
  </si>
  <si>
    <t>402.9K</t>
  </si>
  <si>
    <t>todayis_wendy</t>
  </si>
  <si>
    <t>892.2K</t>
  </si>
  <si>
    <t>weareone.exo</t>
  </si>
  <si>
    <t>579.8K</t>
  </si>
  <si>
    <t>727.9K</t>
  </si>
  <si>
    <t>lildurk</t>
  </si>
  <si>
    <t>13.9M</t>
  </si>
  <si>
    <t>186.2K</t>
  </si>
  <si>
    <t>524.5K</t>
  </si>
  <si>
    <t>hunterschafer</t>
  </si>
  <si>
    <t>606.2K</t>
  </si>
  <si>
    <t>998.2K</t>
  </si>
  <si>
    <t>sadiomaneofficiel</t>
  </si>
  <si>
    <t>435.7K</t>
  </si>
  <si>
    <t>621.8K</t>
  </si>
  <si>
    <t>9gag</t>
  </si>
  <si>
    <t>58.2M</t>
  </si>
  <si>
    <t>95.7K</t>
  </si>
  <si>
    <t>123.4K</t>
  </si>
  <si>
    <t>for_everyoung10</t>
  </si>
  <si>
    <t>5.1M</t>
  </si>
  <si>
    <t>caradelevingne</t>
  </si>
  <si>
    <t>120K</t>
  </si>
  <si>
    <t>166.5K</t>
  </si>
  <si>
    <t>euphoria</t>
  </si>
  <si>
    <t>7.9M</t>
  </si>
  <si>
    <t>913.7K</t>
  </si>
  <si>
    <t>saweetie</t>
  </si>
  <si>
    <t>13.2M</t>
  </si>
  <si>
    <t>233.7K</t>
  </si>
  <si>
    <t>542.6K</t>
  </si>
  <si>
    <t>daquan</t>
  </si>
  <si>
    <t>272.4K</t>
  </si>
  <si>
    <t>420.3K</t>
  </si>
  <si>
    <t>i_m_hendery</t>
  </si>
  <si>
    <t>6.2M</t>
  </si>
  <si>
    <t>891.4K</t>
  </si>
  <si>
    <t>darshanravaldz</t>
  </si>
  <si>
    <t>384.9K</t>
  </si>
  <si>
    <t>465.2K</t>
  </si>
  <si>
    <t>jadepicon</t>
  </si>
  <si>
    <t>160.1K</t>
  </si>
  <si>
    <t>354.7K</t>
  </si>
  <si>
    <t>barbieferreira</t>
  </si>
  <si>
    <t>LifestyleMusicCinema &amp; Actors/actresses</t>
  </si>
  <si>
    <t>620K</t>
  </si>
  <si>
    <t>kyo1122</t>
  </si>
  <si>
    <t>411.6K</t>
  </si>
  <si>
    <t>524.4K</t>
  </si>
  <si>
    <t>rakulpreet</t>
  </si>
  <si>
    <t>267.5K</t>
  </si>
  <si>
    <t>314.5K</t>
  </si>
  <si>
    <t>leaelui</t>
  </si>
  <si>
    <t>358.1K</t>
  </si>
  <si>
    <t>602.1K</t>
  </si>
  <si>
    <t>simoneses</t>
  </si>
  <si>
    <t>34.8M</t>
  </si>
  <si>
    <t>157.9K</t>
  </si>
  <si>
    <t>200K</t>
  </si>
  <si>
    <t>marvelstudios</t>
  </si>
  <si>
    <t>Cinema &amp; Actors/actressesComics &amp; sketches</t>
  </si>
  <si>
    <t>183K</t>
  </si>
  <si>
    <t>angeldimariajm</t>
  </si>
  <si>
    <t>381.9K</t>
  </si>
  <si>
    <t>juliette</t>
  </si>
  <si>
    <t>33.7M</t>
  </si>
  <si>
    <t>130.6K</t>
  </si>
  <si>
    <t>207.7K</t>
  </si>
  <si>
    <t>mingue.k</t>
  </si>
  <si>
    <t>990.9K</t>
  </si>
  <si>
    <t>obj</t>
  </si>
  <si>
    <t>16.2M</t>
  </si>
  <si>
    <t>219K</t>
  </si>
  <si>
    <t>416K</t>
  </si>
  <si>
    <t>goar_avetisyan</t>
  </si>
  <si>
    <t>421.3K</t>
  </si>
  <si>
    <t>583.1K</t>
  </si>
  <si>
    <t>yerimiese</t>
  </si>
  <si>
    <t>506K</t>
  </si>
  <si>
    <t>627.3K</t>
  </si>
  <si>
    <t>demetozdemir</t>
  </si>
  <si>
    <t>344.4K</t>
  </si>
  <si>
    <t>439.5K</t>
  </si>
  <si>
    <t>burakozcivit</t>
  </si>
  <si>
    <t>255.6K</t>
  </si>
  <si>
    <t>309.6K</t>
  </si>
  <si>
    <t>gururandhawa</t>
  </si>
  <si>
    <t>163.9K</t>
  </si>
  <si>
    <t>201.6K</t>
  </si>
  <si>
    <t>dntlrdl</t>
  </si>
  <si>
    <t>791.2K</t>
  </si>
  <si>
    <t>yangyang_x2</t>
  </si>
  <si>
    <t>6.4M</t>
  </si>
  <si>
    <t>833.1K</t>
  </si>
  <si>
    <t>rachel_mypark</t>
  </si>
  <si>
    <t>519.3K</t>
  </si>
  <si>
    <t>647K</t>
  </si>
  <si>
    <t>parishilton</t>
  </si>
  <si>
    <t>19.6M</t>
  </si>
  <si>
    <t>202.5K</t>
  </si>
  <si>
    <t>334.2K</t>
  </si>
  <si>
    <t>jhope_bighitentertainment</t>
  </si>
  <si>
    <t>825.8K</t>
  </si>
  <si>
    <t>evcenf</t>
  </si>
  <si>
    <t>LifestyleBeauty</t>
  </si>
  <si>
    <t>389.6K</t>
  </si>
  <si>
    <t>491.5K</t>
  </si>
  <si>
    <t>iynemliarasbulut</t>
  </si>
  <si>
    <t>447.9K</t>
  </si>
  <si>
    <t>626.1K</t>
  </si>
  <si>
    <t>yejinhand</t>
  </si>
  <si>
    <t>719.2K</t>
  </si>
  <si>
    <t>935.8K</t>
  </si>
  <si>
    <t>jin_bighitentertainment</t>
  </si>
  <si>
    <t>685.5K</t>
  </si>
  <si>
    <t>779.5K</t>
  </si>
  <si>
    <t>thibautcourtois</t>
  </si>
  <si>
    <t>406.4K</t>
  </si>
  <si>
    <t>589.8K</t>
  </si>
  <si>
    <t>kun11xd</t>
  </si>
  <si>
    <t>6.7M</t>
  </si>
  <si>
    <t>758.3K</t>
  </si>
  <si>
    <t>947.1K</t>
  </si>
  <si>
    <t>sonamkapoor</t>
  </si>
  <si>
    <t>FashionModeling</t>
  </si>
  <si>
    <t>159.5K</t>
  </si>
  <si>
    <t>189.3K</t>
  </si>
  <si>
    <t>_shotaroo_</t>
  </si>
  <si>
    <t>907.2K</t>
  </si>
  <si>
    <t>raphaelvarane</t>
  </si>
  <si>
    <t>326.9K</t>
  </si>
  <si>
    <t>pugachevmark</t>
  </si>
  <si>
    <t>Cars &amp; MotorbikesLuxury</t>
  </si>
  <si>
    <t>300.3K</t>
  </si>
  <si>
    <t>441K</t>
  </si>
  <si>
    <t>shehnaazgill</t>
  </si>
  <si>
    <t>463.7K</t>
  </si>
  <si>
    <t>586.7K</t>
  </si>
  <si>
    <t>thenewclassic</t>
  </si>
  <si>
    <t>16.4M</t>
  </si>
  <si>
    <t>234.9K</t>
  </si>
  <si>
    <t>vanessahudgens</t>
  </si>
  <si>
    <t>46.4M</t>
  </si>
  <si>
    <t>82K</t>
  </si>
  <si>
    <t>133.6K</t>
  </si>
  <si>
    <t>mariabecerra</t>
  </si>
  <si>
    <t>271.8K</t>
  </si>
  <si>
    <t>641.3K</t>
  </si>
  <si>
    <t>jennaortega</t>
  </si>
  <si>
    <t>538.9K</t>
  </si>
  <si>
    <t>767.8K</t>
  </si>
  <si>
    <t>aron.piper</t>
  </si>
  <si>
    <t>235.9K</t>
  </si>
  <si>
    <t>444.8K</t>
  </si>
  <si>
    <t>_seorina</t>
  </si>
  <si>
    <t>840.1K</t>
  </si>
  <si>
    <t>teddysphotos</t>
  </si>
  <si>
    <t>39.5M</t>
  </si>
  <si>
    <t>113.4K</t>
  </si>
  <si>
    <t>155.2K</t>
  </si>
  <si>
    <t>larissamanoela</t>
  </si>
  <si>
    <t>46.1M</t>
  </si>
  <si>
    <t>80.8K</t>
  </si>
  <si>
    <t>132.8K</t>
  </si>
  <si>
    <t>paulwesley</t>
  </si>
  <si>
    <t>330.9K</t>
  </si>
  <si>
    <t>494.3K</t>
  </si>
  <si>
    <t>djxiao_888</t>
  </si>
  <si>
    <t>720.3K</t>
  </si>
  <si>
    <t>901K</t>
  </si>
  <si>
    <t>parineetichopra</t>
  </si>
  <si>
    <t>141.3K</t>
  </si>
  <si>
    <t>164.4K</t>
  </si>
  <si>
    <t>romeosantos</t>
  </si>
  <si>
    <t>19.2M</t>
  </si>
  <si>
    <t>259.7K</t>
  </si>
  <si>
    <t>319.7K</t>
  </si>
  <si>
    <t>duki</t>
  </si>
  <si>
    <t>390.5K</t>
  </si>
  <si>
    <t>conangray</t>
  </si>
  <si>
    <t>639.6K</t>
  </si>
  <si>
    <t>955.4K</t>
  </si>
  <si>
    <t>jessnolimit</t>
  </si>
  <si>
    <t>698.2K</t>
  </si>
  <si>
    <t>k.kbeom</t>
  </si>
  <si>
    <t>931.7K</t>
  </si>
  <si>
    <t>chiaraferragni</t>
  </si>
  <si>
    <t>129.4K</t>
  </si>
  <si>
    <t>216.3K</t>
  </si>
  <si>
    <t>nadin_serovski</t>
  </si>
  <si>
    <t>471.3K</t>
  </si>
  <si>
    <t>648.7K</t>
  </si>
  <si>
    <t>adamweitsman</t>
  </si>
  <si>
    <t>17.5M</t>
  </si>
  <si>
    <t>247K</t>
  </si>
  <si>
    <t>337.4K</t>
  </si>
  <si>
    <t>anupamaparameswaran96</t>
  </si>
  <si>
    <t>421.5K</t>
  </si>
  <si>
    <t>482.2K</t>
  </si>
  <si>
    <t>superstar_dewasi99</t>
  </si>
  <si>
    <t>297.1K</t>
  </si>
  <si>
    <t>468.8K</t>
  </si>
  <si>
    <t>offsetyrn</t>
  </si>
  <si>
    <t>165.6K</t>
  </si>
  <si>
    <t>295.9K</t>
  </si>
  <si>
    <t>juanpazurita</t>
  </si>
  <si>
    <t>29.8M</t>
  </si>
  <si>
    <t>138.3K</t>
  </si>
  <si>
    <t>196.7K</t>
  </si>
  <si>
    <t>antogriezmann</t>
  </si>
  <si>
    <t>36.4M</t>
  </si>
  <si>
    <t>99.5K</t>
  </si>
  <si>
    <t>160.9K</t>
  </si>
  <si>
    <t>jungkook_bighitentertainment</t>
  </si>
  <si>
    <t>9.5M</t>
  </si>
  <si>
    <t>550.7K</t>
  </si>
  <si>
    <t>624.9K</t>
  </si>
  <si>
    <t>ana_d_armas</t>
  </si>
  <si>
    <t>7.1M</t>
  </si>
  <si>
    <t>834K</t>
  </si>
  <si>
    <t>dkharbour</t>
  </si>
  <si>
    <t>531.6K</t>
  </si>
  <si>
    <t>696.7K</t>
  </si>
  <si>
    <t>ldh_sky</t>
  </si>
  <si>
    <t>823.7K</t>
  </si>
  <si>
    <t>aboflah</t>
  </si>
  <si>
    <t>7.4M</t>
  </si>
  <si>
    <t>Iraq</t>
  </si>
  <si>
    <t>690.3K</t>
  </si>
  <si>
    <t>829K</t>
  </si>
  <si>
    <t>polo.capalot</t>
  </si>
  <si>
    <t>551.7K</t>
  </si>
  <si>
    <t>zefelipecantor</t>
  </si>
  <si>
    <t>134.5K</t>
  </si>
  <si>
    <t>236.5K</t>
  </si>
  <si>
    <t>yuyacst</t>
  </si>
  <si>
    <t>218.1K</t>
  </si>
  <si>
    <t>334.7K</t>
  </si>
  <si>
    <t>fuji_an</t>
  </si>
  <si>
    <t>LifestyleFamily</t>
  </si>
  <si>
    <t>205.4K</t>
  </si>
  <si>
    <t>488.2K</t>
  </si>
  <si>
    <t>anahi</t>
  </si>
  <si>
    <t>344.7K</t>
  </si>
  <si>
    <t>605K</t>
  </si>
  <si>
    <t>kingbach</t>
  </si>
  <si>
    <t>22.7M</t>
  </si>
  <si>
    <t>126.4K</t>
  </si>
  <si>
    <t>253.1K</t>
  </si>
  <si>
    <t>yoona__lim</t>
  </si>
  <si>
    <t>352.9K</t>
  </si>
  <si>
    <t>422.9K</t>
  </si>
  <si>
    <t>gianlucavacchi</t>
  </si>
  <si>
    <t>166.3K</t>
  </si>
  <si>
    <t>256.1K</t>
  </si>
  <si>
    <t>xavi</t>
  </si>
  <si>
    <t>428.7K</t>
  </si>
  <si>
    <t>643K</t>
  </si>
  <si>
    <t>anjimaxuofficially</t>
  </si>
  <si>
    <t>11.5M</t>
  </si>
  <si>
    <t>391.1K</t>
  </si>
  <si>
    <t>khabib_nurmagomedov</t>
  </si>
  <si>
    <t>33.5M</t>
  </si>
  <si>
    <t>119.8K</t>
  </si>
  <si>
    <t>168.6K</t>
  </si>
  <si>
    <t>jimmyfallon</t>
  </si>
  <si>
    <t>201.1K</t>
  </si>
  <si>
    <t>251K</t>
  </si>
  <si>
    <t>gusttavolima</t>
  </si>
  <si>
    <t>43.8M</t>
  </si>
  <si>
    <t>77.1K</t>
  </si>
  <si>
    <t>129.7K</t>
  </si>
  <si>
    <t>julesleblanc</t>
  </si>
  <si>
    <t>MusicShows</t>
  </si>
  <si>
    <t>9.7M</t>
  </si>
  <si>
    <t>404.2K</t>
  </si>
  <si>
    <t>584.6K</t>
  </si>
  <si>
    <t>ananyapanday</t>
  </si>
  <si>
    <t>207.2K</t>
  </si>
  <si>
    <t>243.1K</t>
  </si>
  <si>
    <t>nickyjam</t>
  </si>
  <si>
    <t>43.4M</t>
  </si>
  <si>
    <t>109.3K</t>
  </si>
  <si>
    <t>129.6K</t>
  </si>
  <si>
    <t>travisbarker</t>
  </si>
  <si>
    <t>521.8K</t>
  </si>
  <si>
    <t>738.8K</t>
  </si>
  <si>
    <t>nikefootball</t>
  </si>
  <si>
    <t>Sports with a ballClothing &amp; Outfits</t>
  </si>
  <si>
    <t>45.2M</t>
  </si>
  <si>
    <t>79.1K</t>
  </si>
  <si>
    <t>122.2K</t>
  </si>
  <si>
    <t>juansguarnizo</t>
  </si>
  <si>
    <t>873.7K</t>
  </si>
  <si>
    <t>957.2K</t>
  </si>
  <si>
    <t>thehughjackman</t>
  </si>
  <si>
    <t>30.5M</t>
  </si>
  <si>
    <t>159.1K</t>
  </si>
  <si>
    <t>180.9K</t>
  </si>
  <si>
    <t>c.syresmith</t>
  </si>
  <si>
    <t>186.6K</t>
  </si>
  <si>
    <t>288.2K</t>
  </si>
  <si>
    <t>itsmarziapie</t>
  </si>
  <si>
    <t>BeautyLifestyle</t>
  </si>
  <si>
    <t>574.9K</t>
  </si>
  <si>
    <t>671.6K</t>
  </si>
  <si>
    <t>jailyneojeda</t>
  </si>
  <si>
    <t>280.5K</t>
  </si>
  <si>
    <t>387.7K</t>
  </si>
  <si>
    <t>yooncy1</t>
  </si>
  <si>
    <t>938.5K</t>
  </si>
  <si>
    <t>gioewbank</t>
  </si>
  <si>
    <t>28.4M</t>
  </si>
  <si>
    <t>121.2K</t>
  </si>
  <si>
    <t>192.7K</t>
  </si>
  <si>
    <t>indiancricketteam</t>
  </si>
  <si>
    <t>189.9K</t>
  </si>
  <si>
    <t>221.4K</t>
  </si>
  <si>
    <t>yugyeom</t>
  </si>
  <si>
    <t>11.4M</t>
  </si>
  <si>
    <t>373K</t>
  </si>
  <si>
    <t>482.6K</t>
  </si>
  <si>
    <t>deiveleonardo</t>
  </si>
  <si>
    <t>Literature &amp; JournalismTrainers &amp; Coaches</t>
  </si>
  <si>
    <t>11.7M</t>
  </si>
  <si>
    <t>470.9K</t>
  </si>
  <si>
    <t>urvashirautela</t>
  </si>
  <si>
    <t>85.7K</t>
  </si>
  <si>
    <t>103K</t>
  </si>
  <si>
    <t>aliiiiiiiikarimi8</t>
  </si>
  <si>
    <t>588K</t>
  </si>
  <si>
    <t>fabriziorom</t>
  </si>
  <si>
    <t>Literature &amp; JournalismShows</t>
  </si>
  <si>
    <t>8.6M</t>
  </si>
  <si>
    <t>368.5K</t>
  </si>
  <si>
    <t>638K</t>
  </si>
  <si>
    <t>sanchooo10</t>
  </si>
  <si>
    <t>362.9K</t>
  </si>
  <si>
    <t>634K</t>
  </si>
  <si>
    <t>joeyking</t>
  </si>
  <si>
    <t>195.5K</t>
  </si>
  <si>
    <t>280.3K</t>
  </si>
  <si>
    <t>nianaguerrero</t>
  </si>
  <si>
    <t>MusicKids &amp; Toys</t>
  </si>
  <si>
    <t>297.5K</t>
  </si>
  <si>
    <t>373.3K</t>
  </si>
  <si>
    <t>hshq</t>
  </si>
  <si>
    <t>859K</t>
  </si>
  <si>
    <t>lacasadepapel</t>
  </si>
  <si>
    <t>412.7K</t>
  </si>
  <si>
    <t>fcbayern</t>
  </si>
  <si>
    <t>33.3M</t>
  </si>
  <si>
    <t>Germany</t>
  </si>
  <si>
    <t>109.2K</t>
  </si>
  <si>
    <t>159.4K</t>
  </si>
  <si>
    <t>choi_seung_hyun_tttop</t>
  </si>
  <si>
    <t>316.6K</t>
  </si>
  <si>
    <t>374.6K</t>
  </si>
  <si>
    <t>vousmevoyez</t>
  </si>
  <si>
    <t>393.9K</t>
  </si>
  <si>
    <t>510.7K</t>
  </si>
  <si>
    <t>pefabiodemelo</t>
  </si>
  <si>
    <t>137.5K</t>
  </si>
  <si>
    <t>207.4K</t>
  </si>
  <si>
    <t>rahulkl</t>
  </si>
  <si>
    <t>366.1K</t>
  </si>
  <si>
    <t>427.1K</t>
  </si>
  <si>
    <t>donya</t>
  </si>
  <si>
    <t>Fashion</t>
  </si>
  <si>
    <t>231.4K</t>
  </si>
  <si>
    <t>366.4K</t>
  </si>
  <si>
    <t>sav.labrant</t>
  </si>
  <si>
    <t>FamilyLifestyleShows</t>
  </si>
  <si>
    <t>556.4K</t>
  </si>
  <si>
    <t>744.3K</t>
  </si>
  <si>
    <t>abdevilliers17</t>
  </si>
  <si>
    <t>245.3K</t>
  </si>
  <si>
    <t>283.6K</t>
  </si>
  <si>
    <t>arishfakhan138</t>
  </si>
  <si>
    <t>29.3M</t>
  </si>
  <si>
    <t>145.7K</t>
  </si>
  <si>
    <t>177.9K</t>
  </si>
  <si>
    <t>liamhemsworth</t>
  </si>
  <si>
    <t>275.9K</t>
  </si>
  <si>
    <t>391.8K</t>
  </si>
  <si>
    <t>iscoalarcon</t>
  </si>
  <si>
    <t>24.9M</t>
  </si>
  <si>
    <t>142.1K</t>
  </si>
  <si>
    <t>205.9K</t>
  </si>
  <si>
    <t>jimin_bighitentertainment</t>
  </si>
  <si>
    <t>8.8M</t>
  </si>
  <si>
    <t>528.2K</t>
  </si>
  <si>
    <t>585.1K</t>
  </si>
  <si>
    <t>lucasranngel</t>
  </si>
  <si>
    <t>116.9K</t>
  </si>
  <si>
    <t>258.7K</t>
  </si>
  <si>
    <t>dear.zia</t>
  </si>
  <si>
    <t>hakkiakdenizz</t>
  </si>
  <si>
    <t>149.1K</t>
  </si>
  <si>
    <t>215.1K</t>
  </si>
  <si>
    <t>dra.deolanebezerra</t>
  </si>
  <si>
    <t>164.7K</t>
  </si>
  <si>
    <t>jokowi</t>
  </si>
  <si>
    <t>Finance &amp; Economics</t>
  </si>
  <si>
    <t>47.4M</t>
  </si>
  <si>
    <t>87.3K</t>
  </si>
  <si>
    <t>107.2K</t>
  </si>
  <si>
    <t>nusr_et</t>
  </si>
  <si>
    <t>46.9M</t>
  </si>
  <si>
    <t>73.6K</t>
  </si>
  <si>
    <t>108.6K</t>
  </si>
  <si>
    <t>fortnite</t>
  </si>
  <si>
    <t>25.9M</t>
  </si>
  <si>
    <t>165.2K</t>
  </si>
  <si>
    <t>195.4K</t>
  </si>
  <si>
    <t>loud_victor</t>
  </si>
  <si>
    <t>372.2K</t>
  </si>
  <si>
    <t>474.1K</t>
  </si>
  <si>
    <t>cvillaloboss</t>
  </si>
  <si>
    <t>20.1M</t>
  </si>
  <si>
    <t>204.1K</t>
  </si>
  <si>
    <t>250.7K</t>
  </si>
  <si>
    <t>dylansprouse</t>
  </si>
  <si>
    <t>9.2M</t>
  </si>
  <si>
    <t>351K</t>
  </si>
  <si>
    <t>551.1K</t>
  </si>
  <si>
    <t>melissamelmaia</t>
  </si>
  <si>
    <t>213.2K</t>
  </si>
  <si>
    <t>386.6K</t>
  </si>
  <si>
    <t>sofiaalcastro</t>
  </si>
  <si>
    <t>ShowsCinema &amp; Actors/actressesLifestyle</t>
  </si>
  <si>
    <t>424.6K</t>
  </si>
  <si>
    <t>577.9K</t>
  </si>
  <si>
    <t>litkillah</t>
  </si>
  <si>
    <t>485.7K</t>
  </si>
  <si>
    <t>640.4K</t>
  </si>
  <si>
    <t>21savage</t>
  </si>
  <si>
    <t>370.6K</t>
  </si>
  <si>
    <t>amitabhbachchan</t>
  </si>
  <si>
    <t>141.4K</t>
  </si>
  <si>
    <t>162.6K</t>
  </si>
  <si>
    <t>maya_hawke</t>
  </si>
  <si>
    <t>501.7K</t>
  </si>
  <si>
    <t>tatawerneck</t>
  </si>
  <si>
    <t>Cinema &amp; Actors/actressesFamily</t>
  </si>
  <si>
    <t>53.6M</t>
  </si>
  <si>
    <t>58.9K</t>
  </si>
  <si>
    <t>93.3K</t>
  </si>
  <si>
    <t>viihtube</t>
  </si>
  <si>
    <t>112.1K</t>
  </si>
  <si>
    <t>hm_son7</t>
  </si>
  <si>
    <t>davido</t>
  </si>
  <si>
    <t>Nigeria</t>
  </si>
  <si>
    <t>148.4K</t>
  </si>
  <si>
    <t>206.5K</t>
  </si>
  <si>
    <t>leonardodicaprio</t>
  </si>
  <si>
    <t>54.2M</t>
  </si>
  <si>
    <t>74.3K</t>
  </si>
  <si>
    <t>91.1K</t>
  </si>
  <si>
    <t>bernardokath</t>
  </si>
  <si>
    <t>BeautyCinema &amp; Actors/actressesFashion</t>
  </si>
  <si>
    <t>282.1K</t>
  </si>
  <si>
    <t>chloegmoretz</t>
  </si>
  <si>
    <t>21.1M</t>
  </si>
  <si>
    <t>173.9K</t>
  </si>
  <si>
    <t>232.3K</t>
  </si>
  <si>
    <t>wizkidayo</t>
  </si>
  <si>
    <t>175.2K</t>
  </si>
  <si>
    <t>340.9K</t>
  </si>
  <si>
    <t>melo</t>
  </si>
  <si>
    <t>269.7K</t>
  </si>
  <si>
    <t>548.1K</t>
  </si>
  <si>
    <t>jimena.jimenezr</t>
  </si>
  <si>
    <t>581.1K</t>
  </si>
  <si>
    <t>839.2K</t>
  </si>
  <si>
    <t>gessicakayane</t>
  </si>
  <si>
    <t>117.5K</t>
  </si>
  <si>
    <t>242.6K</t>
  </si>
  <si>
    <t>andreavaldirisos</t>
  </si>
  <si>
    <t>400.1K</t>
  </si>
  <si>
    <t>569.1K</t>
  </si>
  <si>
    <t>joaogomescantor</t>
  </si>
  <si>
    <t>137.6K</t>
  </si>
  <si>
    <t>377.3K</t>
  </si>
  <si>
    <t>quavohuncho</t>
  </si>
  <si>
    <t>135.8K</t>
  </si>
  <si>
    <t>222.6K</t>
  </si>
  <si>
    <t>caviarmagnat</t>
  </si>
  <si>
    <t>216.8K</t>
  </si>
  <si>
    <t>313.8K</t>
  </si>
  <si>
    <t>suga_bighitentertainment</t>
  </si>
  <si>
    <t>558.5K</t>
  </si>
  <si>
    <t>630.3K</t>
  </si>
  <si>
    <t>pablogavi</t>
  </si>
  <si>
    <t>4.7M</t>
  </si>
  <si>
    <t>netflixbrasil</t>
  </si>
  <si>
    <t>87.8K</t>
  </si>
  <si>
    <t>149.4K</t>
  </si>
  <si>
    <t>ridwankamil</t>
  </si>
  <si>
    <t>Literature &amp; JournalismBusiness &amp; CareersFinance &amp; Economics</t>
  </si>
  <si>
    <t>257.1K</t>
  </si>
  <si>
    <t>beautifuldestinations</t>
  </si>
  <si>
    <t>PhotographyTravel</t>
  </si>
  <si>
    <t>190.6K</t>
  </si>
  <si>
    <t>angelinajolie</t>
  </si>
  <si>
    <t>216.4K</t>
  </si>
  <si>
    <t>358.5K</t>
  </si>
  <si>
    <t>corinnakopf</t>
  </si>
  <si>
    <t>461.9K</t>
  </si>
  <si>
    <t>707.1K</t>
  </si>
  <si>
    <t>asabopp</t>
  </si>
  <si>
    <t>812.7K</t>
  </si>
  <si>
    <t>naileadevora</t>
  </si>
  <si>
    <t>906.7K</t>
  </si>
  <si>
    <t>lizakoshy</t>
  </si>
  <si>
    <t>173.4K</t>
  </si>
  <si>
    <t>231.5K</t>
  </si>
  <si>
    <t>marimaria</t>
  </si>
  <si>
    <t>119.7K</t>
  </si>
  <si>
    <t>230.5K</t>
  </si>
  <si>
    <t>ronaldo</t>
  </si>
  <si>
    <t>116.6K</t>
  </si>
  <si>
    <t>201.9K</t>
  </si>
  <si>
    <t>gisele</t>
  </si>
  <si>
    <t>ModelingFashionLifestyle</t>
  </si>
  <si>
    <t>161.7K</t>
  </si>
  <si>
    <t>240.1K</t>
  </si>
  <si>
    <t>liverpoolfc</t>
  </si>
  <si>
    <t>82.3K</t>
  </si>
  <si>
    <t>116.7K</t>
  </si>
  <si>
    <t>nehasharmaofficial</t>
  </si>
  <si>
    <t>274K</t>
  </si>
  <si>
    <t>marcusrashford</t>
  </si>
  <si>
    <t>360.5K</t>
  </si>
  <si>
    <t>golfarahani</t>
  </si>
  <si>
    <t>266.4K</t>
  </si>
  <si>
    <t>343.3K</t>
  </si>
  <si>
    <t>fuckjerry</t>
  </si>
  <si>
    <t>212.2K</t>
  </si>
  <si>
    <t>nazriyafahadh</t>
  </si>
  <si>
    <t>6.1M</t>
  </si>
  <si>
    <t>567.2K</t>
  </si>
  <si>
    <t>759.9K</t>
  </si>
  <si>
    <t>kyrieirving</t>
  </si>
  <si>
    <t>178.9K</t>
  </si>
  <si>
    <t>271.3K</t>
  </si>
  <si>
    <t>xsqueezie</t>
  </si>
  <si>
    <t>499.4K</t>
  </si>
  <si>
    <t>584.2K</t>
  </si>
  <si>
    <t>actorsuriya</t>
  </si>
  <si>
    <t>731.7K</t>
  </si>
  <si>
    <t>949.4K</t>
  </si>
  <si>
    <t>easportsfifa</t>
  </si>
  <si>
    <t>26.7M</t>
  </si>
  <si>
    <t>100.5K</t>
  </si>
  <si>
    <t>169.5K</t>
  </si>
  <si>
    <t>nessabarrett</t>
  </si>
  <si>
    <t>481K</t>
  </si>
  <si>
    <t>651.7K</t>
  </si>
  <si>
    <t>trentarnold66</t>
  </si>
  <si>
    <t>408.4K</t>
  </si>
  <si>
    <t>598.3K</t>
  </si>
  <si>
    <t>madisonbaileybabe</t>
  </si>
  <si>
    <t>362.4K</t>
  </si>
  <si>
    <t>678.6K</t>
  </si>
  <si>
    <t>jackharlow</t>
  </si>
  <si>
    <t>360.7K</t>
  </si>
  <si>
    <t>673.9K</t>
  </si>
  <si>
    <t>victoriajustice</t>
  </si>
  <si>
    <t>196.8K</t>
  </si>
  <si>
    <t>amauryguichon</t>
  </si>
  <si>
    <t>407.2K</t>
  </si>
  <si>
    <t>497.2K</t>
  </si>
  <si>
    <t>phoebejtonkin</t>
  </si>
  <si>
    <t>532.6K</t>
  </si>
  <si>
    <t>vanessamorgan</t>
  </si>
  <si>
    <t>330.5K</t>
  </si>
  <si>
    <t>470.7K</t>
  </si>
  <si>
    <t>smriti_mandhana</t>
  </si>
  <si>
    <t>621.3K</t>
  </si>
  <si>
    <t>720.2K</t>
  </si>
  <si>
    <t>shreyaghoshal</t>
  </si>
  <si>
    <t>160.2K</t>
  </si>
  <si>
    <t>180.3K</t>
  </si>
  <si>
    <t>achrafhakimi</t>
  </si>
  <si>
    <t>Morocco</t>
  </si>
  <si>
    <t>304.1K</t>
  </si>
  <si>
    <t>446.8K</t>
  </si>
  <si>
    <t>aleoliveiracm</t>
  </si>
  <si>
    <t>214.9K</t>
  </si>
  <si>
    <t>549.8K</t>
  </si>
  <si>
    <t>xuminghao_o</t>
  </si>
  <si>
    <t>721.9K</t>
  </si>
  <si>
    <t>910.3K</t>
  </si>
  <si>
    <t>nita_shilimkar</t>
  </si>
  <si>
    <t>11.3M</t>
  </si>
  <si>
    <t>383K</t>
  </si>
  <si>
    <t>jeromepolin</t>
  </si>
  <si>
    <t>EducationHumor &amp; Fun &amp; Happiness</t>
  </si>
  <si>
    <t>429.8K</t>
  </si>
  <si>
    <t>630.4K</t>
  </si>
  <si>
    <t>sound_of_coups</t>
  </si>
  <si>
    <t>863.9K</t>
  </si>
  <si>
    <t>aishwaryaraibachchan_arb</t>
  </si>
  <si>
    <t>320.2K</t>
  </si>
  <si>
    <t>408.7K</t>
  </si>
  <si>
    <t>emiliamernes</t>
  </si>
  <si>
    <t>379.6K</t>
  </si>
  <si>
    <t>714.3K</t>
  </si>
  <si>
    <t>geewonii</t>
  </si>
  <si>
    <t>428K</t>
  </si>
  <si>
    <t>563.4K</t>
  </si>
  <si>
    <t>markiplier</t>
  </si>
  <si>
    <t>355.4K</t>
  </si>
  <si>
    <t>404.7K</t>
  </si>
  <si>
    <t>jairmessiasbolsonaro</t>
  </si>
  <si>
    <t>151.6K</t>
  </si>
  <si>
    <t>213.1K</t>
  </si>
  <si>
    <t>loganpaul</t>
  </si>
  <si>
    <t>135K</t>
  </si>
  <si>
    <t>179.7K</t>
  </si>
  <si>
    <t>klaythompson</t>
  </si>
  <si>
    <t>223.3K</t>
  </si>
  <si>
    <t>malutrevejo</t>
  </si>
  <si>
    <t>201.4K</t>
  </si>
  <si>
    <t>361.2K</t>
  </si>
  <si>
    <t>virgilvandijk</t>
  </si>
  <si>
    <t>238.5K</t>
  </si>
  <si>
    <t>338.6K</t>
  </si>
  <si>
    <t>frenkiedejong</t>
  </si>
  <si>
    <t>10.6M</t>
  </si>
  <si>
    <t>262.4K</t>
  </si>
  <si>
    <t>karelyruiz</t>
  </si>
  <si>
    <t>525.7K</t>
  </si>
  <si>
    <t>660.2K</t>
  </si>
  <si>
    <t>ciara</t>
  </si>
  <si>
    <t>MusicModelingArt/Artists</t>
  </si>
  <si>
    <t>129.2K</t>
  </si>
  <si>
    <t>joshu_acoustic</t>
  </si>
  <si>
    <t>4.2M</t>
  </si>
  <si>
    <t>actorprabhas</t>
  </si>
  <si>
    <t>434.2K</t>
  </si>
  <si>
    <t>486K</t>
  </si>
  <si>
    <t>avani</t>
  </si>
  <si>
    <t>160.8K</t>
  </si>
  <si>
    <t>216.9K</t>
  </si>
  <si>
    <t>jensenackles</t>
  </si>
  <si>
    <t>336.9K</t>
  </si>
  <si>
    <t>438.3K</t>
  </si>
  <si>
    <t>jaybnow.hr</t>
  </si>
  <si>
    <t>463.3K</t>
  </si>
  <si>
    <t>607.3K</t>
  </si>
  <si>
    <t>missasinfonia</t>
  </si>
  <si>
    <t>688.6K</t>
  </si>
  <si>
    <t>771.8K</t>
  </si>
  <si>
    <t>mattyperry4</t>
  </si>
  <si>
    <t>387.2K</t>
  </si>
  <si>
    <t>528.6K</t>
  </si>
  <si>
    <t>__youngbae__</t>
  </si>
  <si>
    <t>269.6K</t>
  </si>
  <si>
    <t>304.7K</t>
  </si>
  <si>
    <t>zoeisabellakravitz</t>
  </si>
  <si>
    <t>318.5K</t>
  </si>
  <si>
    <t>483.3K</t>
  </si>
  <si>
    <t>premierleague</t>
  </si>
  <si>
    <t>57.9M</t>
  </si>
  <si>
    <t>47.8K</t>
  </si>
  <si>
    <t>69.8K</t>
  </si>
  <si>
    <t>catherinemcbroom</t>
  </si>
  <si>
    <t>324.5K</t>
  </si>
  <si>
    <t>558K</t>
  </si>
  <si>
    <t>kit.connor</t>
  </si>
  <si>
    <t>570.1K</t>
  </si>
  <si>
    <t>944.6K</t>
  </si>
  <si>
    <t>toni.kr8s</t>
  </si>
  <si>
    <t>34.2M</t>
  </si>
  <si>
    <t>85.8K</t>
  </si>
  <si>
    <t>117.1K</t>
  </si>
  <si>
    <t>memezar</t>
  </si>
  <si>
    <t>114.9K</t>
  </si>
  <si>
    <t>171K</t>
  </si>
  <si>
    <t>dew_jsu</t>
  </si>
  <si>
    <t>495.5K</t>
  </si>
  <si>
    <t>666.3K</t>
  </si>
  <si>
    <t>amadorat</t>
  </si>
  <si>
    <t>FashionLifestyleBeauty</t>
  </si>
  <si>
    <t>434.7K</t>
  </si>
  <si>
    <t>485.5K</t>
  </si>
  <si>
    <t>urstrulymahesh</t>
  </si>
  <si>
    <t>419.8K</t>
  </si>
  <si>
    <t>theslumpgod</t>
  </si>
  <si>
    <t>428.6K</t>
  </si>
  <si>
    <t>745.4K</t>
  </si>
  <si>
    <t>tiffanyyoungofficial</t>
  </si>
  <si>
    <t>255.7K</t>
  </si>
  <si>
    <t>320.3K</t>
  </si>
  <si>
    <t>juventus</t>
  </si>
  <si>
    <t>54M</t>
  </si>
  <si>
    <t>48.4K</t>
  </si>
  <si>
    <t>72.3K</t>
  </si>
  <si>
    <t>iam_linyi</t>
  </si>
  <si>
    <t>768.1K</t>
  </si>
  <si>
    <t>angeliqueboyer</t>
  </si>
  <si>
    <t>219.5K</t>
  </si>
  <si>
    <t>pozevidalouca</t>
  </si>
  <si>
    <t>LifestylePhotography</t>
  </si>
  <si>
    <t>228.5K</t>
  </si>
  <si>
    <t>574K</t>
  </si>
  <si>
    <t>narins_beauty</t>
  </si>
  <si>
    <t>Syria</t>
  </si>
  <si>
    <t>362K</t>
  </si>
  <si>
    <t>442K</t>
  </si>
  <si>
    <t>bhadbhabie</t>
  </si>
  <si>
    <t>125.7K</t>
  </si>
  <si>
    <t>236.2K</t>
  </si>
  <si>
    <t>otabek_muhammadalievich</t>
  </si>
  <si>
    <t>144.5K</t>
  </si>
  <si>
    <t>195.2K</t>
  </si>
  <si>
    <t>sushitrash</t>
  </si>
  <si>
    <t>511.3K</t>
  </si>
  <si>
    <t>djsnake</t>
  </si>
  <si>
    <t>345K</t>
  </si>
  <si>
    <t>409.9K</t>
  </si>
  <si>
    <t>kareenakapoorkhan</t>
  </si>
  <si>
    <t>FamilyCinema &amp; Actors/actresses</t>
  </si>
  <si>
    <t>333.6K</t>
  </si>
  <si>
    <t>415.8K</t>
  </si>
  <si>
    <t>dindahw</t>
  </si>
  <si>
    <t>14.5M</t>
  </si>
  <si>
    <t>177K</t>
  </si>
  <si>
    <t>264.8K</t>
  </si>
  <si>
    <t>chrismcg</t>
  </si>
  <si>
    <t>163.7K</t>
  </si>
  <si>
    <t>360.4K</t>
  </si>
  <si>
    <t>aslisona</t>
  </si>
  <si>
    <t>137.3K</t>
  </si>
  <si>
    <t>166.8K</t>
  </si>
  <si>
    <t>f1</t>
  </si>
  <si>
    <t>150.8K</t>
  </si>
  <si>
    <t>191.7K</t>
  </si>
  <si>
    <t>davidalaba</t>
  </si>
  <si>
    <t>374.9K</t>
  </si>
  <si>
    <t>haifawehbe</t>
  </si>
  <si>
    <t>258.5K</t>
  </si>
  <si>
    <t>378.2K</t>
  </si>
  <si>
    <t>zo</t>
  </si>
  <si>
    <t>147.9K</t>
  </si>
  <si>
    <t>267.1K</t>
  </si>
  <si>
    <t>felipeneto</t>
  </si>
  <si>
    <t>167.8K</t>
  </si>
  <si>
    <t>237.5K</t>
  </si>
  <si>
    <t>jaspritb1</t>
  </si>
  <si>
    <t>339.2K</t>
  </si>
  <si>
    <t>390.1K</t>
  </si>
  <si>
    <t>maudeapatow</t>
  </si>
  <si>
    <t>471.4K</t>
  </si>
  <si>
    <t>taylor_hill</t>
  </si>
  <si>
    <t>Art/ArtistsFashionModeling</t>
  </si>
  <si>
    <t>126.9K</t>
  </si>
  <si>
    <t>189.4K</t>
  </si>
  <si>
    <t>regejean</t>
  </si>
  <si>
    <t>380.7K</t>
  </si>
  <si>
    <t>603.3K</t>
  </si>
  <si>
    <t>vikkialchester</t>
  </si>
  <si>
    <t>279.3K</t>
  </si>
  <si>
    <t>339.9K</t>
  </si>
  <si>
    <t>simonettalein</t>
  </si>
  <si>
    <t>234.2K</t>
  </si>
  <si>
    <t>322.1K</t>
  </si>
  <si>
    <t>troyesivan</t>
  </si>
  <si>
    <t>Art/ArtistsFashionMusic</t>
  </si>
  <si>
    <t>196.2K</t>
  </si>
  <si>
    <t>282.2K</t>
  </si>
  <si>
    <t>alvxaro</t>
  </si>
  <si>
    <t>156.2K</t>
  </si>
  <si>
    <t>391K</t>
  </si>
  <si>
    <t>paulwalker</t>
  </si>
  <si>
    <t>179.8K</t>
  </si>
  <si>
    <t>246.7K</t>
  </si>
  <si>
    <t>amandacerny</t>
  </si>
  <si>
    <t>24M</t>
  </si>
  <si>
    <t>95.8K</t>
  </si>
  <si>
    <t>153.8K</t>
  </si>
  <si>
    <t>yamigautam</t>
  </si>
  <si>
    <t>230.1K</t>
  </si>
  <si>
    <t>candiceking</t>
  </si>
  <si>
    <t>269.4K</t>
  </si>
  <si>
    <t>375.7K</t>
  </si>
  <si>
    <t>snoopdogg</t>
  </si>
  <si>
    <t>74.6M</t>
  </si>
  <si>
    <t>36.9K</t>
  </si>
  <si>
    <t>49.8K</t>
  </si>
  <si>
    <t>thiago6</t>
  </si>
  <si>
    <t>226.4K</t>
  </si>
  <si>
    <t>389K</t>
  </si>
  <si>
    <t>egorkreed</t>
  </si>
  <si>
    <t>202.3K</t>
  </si>
  <si>
    <t>248.9K</t>
  </si>
  <si>
    <t>amybethmcnulty</t>
  </si>
  <si>
    <t>364.1K</t>
  </si>
  <si>
    <t>charles_leclerc</t>
  </si>
  <si>
    <t>347K</t>
  </si>
  <si>
    <t>461.1K</t>
  </si>
  <si>
    <t>avengers</t>
  </si>
  <si>
    <t>213.9K</t>
  </si>
  <si>
    <t>268K</t>
  </si>
  <si>
    <t>dbook</t>
  </si>
  <si>
    <t>349.3K</t>
  </si>
  <si>
    <t>687K</t>
  </si>
  <si>
    <t>l7nnon</t>
  </si>
  <si>
    <t>193.5K</t>
  </si>
  <si>
    <t>460.9K</t>
  </si>
  <si>
    <t>faz3</t>
  </si>
  <si>
    <t>United Arab Emirates</t>
  </si>
  <si>
    <t>194.8K</t>
  </si>
  <si>
    <t>256.3K</t>
  </si>
  <si>
    <t>kentooyamazaki</t>
  </si>
  <si>
    <t>5M</t>
  </si>
  <si>
    <t>Japan</t>
  </si>
  <si>
    <t>636.6K</t>
  </si>
  <si>
    <t>740K</t>
  </si>
  <si>
    <t>alishalehmann7</t>
  </si>
  <si>
    <t>248.2K</t>
  </si>
  <si>
    <t>192.2K</t>
  </si>
  <si>
    <t>machinegunkelly</t>
  </si>
  <si>
    <t>234K</t>
  </si>
  <si>
    <t>376.2K</t>
  </si>
  <si>
    <t>davikah</t>
  </si>
  <si>
    <t>161.6K</t>
  </si>
  <si>
    <t>210.2K</t>
  </si>
  <si>
    <t>blythe</t>
  </si>
  <si>
    <t>229.7K</t>
  </si>
  <si>
    <t>261.5K</t>
  </si>
  <si>
    <t>kingryan</t>
  </si>
  <si>
    <t>8.9M</t>
  </si>
  <si>
    <t>267.2K</t>
  </si>
  <si>
    <t>403.6K</t>
  </si>
  <si>
    <t>sthefanematos</t>
  </si>
  <si>
    <t>159.3K</t>
  </si>
  <si>
    <t>365.6K</t>
  </si>
  <si>
    <t>_agentgirl_</t>
  </si>
  <si>
    <t>18.6M</t>
  </si>
  <si>
    <t>riyadmahrez26.7</t>
  </si>
  <si>
    <t>Algeria</t>
  </si>
  <si>
    <t>306.8K</t>
  </si>
  <si>
    <t>395.2K</t>
  </si>
  <si>
    <t>ler_chek</t>
  </si>
  <si>
    <t>264K</t>
  </si>
  <si>
    <t>342K</t>
  </si>
  <si>
    <t>arthuraguiar</t>
  </si>
  <si>
    <t>270.8K</t>
  </si>
  <si>
    <t>harshbeniwal</t>
  </si>
  <si>
    <t>Humor &amp; Fun &amp; HappinessShowsCinema &amp; Actors/actresses</t>
  </si>
  <si>
    <t>488.4K</t>
  </si>
  <si>
    <t>636K</t>
  </si>
  <si>
    <t>youngdae0302</t>
  </si>
  <si>
    <t>4.4M</t>
  </si>
  <si>
    <t>801.6K</t>
  </si>
  <si>
    <t>sugaringcandy</t>
  </si>
  <si>
    <t>casemiro</t>
  </si>
  <si>
    <t>146.6K</t>
  </si>
  <si>
    <t>219.8K</t>
  </si>
  <si>
    <t>jojotodynho</t>
  </si>
  <si>
    <t>22.5M</t>
  </si>
  <si>
    <t>96.5K</t>
  </si>
  <si>
    <t>155.3K</t>
  </si>
  <si>
    <t>srinidhi_shetty</t>
  </si>
  <si>
    <t>630.5K</t>
  </si>
  <si>
    <t>849.2K</t>
  </si>
  <si>
    <t>amin.hayai</t>
  </si>
  <si>
    <t>301.5K</t>
  </si>
  <si>
    <t>396.9K</t>
  </si>
  <si>
    <t>dylanminnette</t>
  </si>
  <si>
    <t>aliandooo</t>
  </si>
  <si>
    <t>16.7M</t>
  </si>
  <si>
    <t>134.8K</t>
  </si>
  <si>
    <t>mclomaofficial</t>
  </si>
  <si>
    <t>433.1K</t>
  </si>
  <si>
    <t>ewsbdi</t>
  </si>
  <si>
    <t>515.2K</t>
  </si>
  <si>
    <t>770.1K</t>
  </si>
  <si>
    <t>pokimanelol</t>
  </si>
  <si>
    <t>LifestyleShowsComputers &amp; Gadgets</t>
  </si>
  <si>
    <t>430.6K</t>
  </si>
  <si>
    <t>567K</t>
  </si>
  <si>
    <t>emmaroberts</t>
  </si>
  <si>
    <t>126.7K</t>
  </si>
  <si>
    <t>187.8K</t>
  </si>
  <si>
    <t>lucyhale</t>
  </si>
  <si>
    <t>106.3K</t>
  </si>
  <si>
    <t>139.1K</t>
  </si>
  <si>
    <t>stebinben</t>
  </si>
  <si>
    <t>260.2K</t>
  </si>
  <si>
    <t>318.9K</t>
  </si>
  <si>
    <t>juki_lop</t>
  </si>
  <si>
    <t>ShowsFamily</t>
  </si>
  <si>
    <t>365.5K</t>
  </si>
  <si>
    <t>alfinetei</t>
  </si>
  <si>
    <t>71.1K</t>
  </si>
  <si>
    <t>centralcee</t>
  </si>
  <si>
    <t>LifestyleMusicSports with a ball</t>
  </si>
  <si>
    <t>382.2K</t>
  </si>
  <si>
    <t>936K</t>
  </si>
  <si>
    <t>syifahadjureal</t>
  </si>
  <si>
    <t>15.4M</t>
  </si>
  <si>
    <t>177.6K</t>
  </si>
  <si>
    <t>219.3K</t>
  </si>
  <si>
    <t>d_degeaofficial</t>
  </si>
  <si>
    <t>176.1K</t>
  </si>
  <si>
    <t>248.8K</t>
  </si>
  <si>
    <t>elmarianaa</t>
  </si>
  <si>
    <t>887.8K</t>
  </si>
  <si>
    <t>calumhood</t>
  </si>
  <si>
    <t>305.9K</t>
  </si>
  <si>
    <t>490.9K</t>
  </si>
  <si>
    <t>coolio_daryl</t>
  </si>
  <si>
    <t>willyrex</t>
  </si>
  <si>
    <t>330.3K</t>
  </si>
  <si>
    <t>392.1K</t>
  </si>
  <si>
    <t>liltjay</t>
  </si>
  <si>
    <t>251.6K</t>
  </si>
  <si>
    <t>464.5K</t>
  </si>
  <si>
    <t>floydmayweather</t>
  </si>
  <si>
    <t>66.9K</t>
  </si>
  <si>
    <t>118.1K</t>
  </si>
  <si>
    <t>georgenotfound</t>
  </si>
  <si>
    <t>onwardwanna</t>
  </si>
  <si>
    <t>364.7K</t>
  </si>
  <si>
    <t>608.3K</t>
  </si>
  <si>
    <t>milad_khahhh</t>
  </si>
  <si>
    <t>379.9K</t>
  </si>
  <si>
    <t>541K</t>
  </si>
  <si>
    <t>angela_aguilar_</t>
  </si>
  <si>
    <t>316.9K</t>
  </si>
  <si>
    <t>383.6K</t>
  </si>
  <si>
    <t>kaliuchis</t>
  </si>
  <si>
    <t>491.7K</t>
  </si>
  <si>
    <t>848.7K</t>
  </si>
  <si>
    <t>joaoguilherme</t>
  </si>
  <si>
    <t>MusicCinema &amp; Actors/actressesLifestyle</t>
  </si>
  <si>
    <t>105.8K</t>
  </si>
  <si>
    <t>205.5K</t>
  </si>
  <si>
    <t>salmahayek</t>
  </si>
  <si>
    <t>21.5M</t>
  </si>
  <si>
    <t>123.9K</t>
  </si>
  <si>
    <t>152.5K</t>
  </si>
  <si>
    <t>rezagolzar</t>
  </si>
  <si>
    <t>190.9K</t>
  </si>
  <si>
    <t>280.7K</t>
  </si>
  <si>
    <t>acunilicali</t>
  </si>
  <si>
    <t>198.6K</t>
  </si>
  <si>
    <t>245.4K</t>
  </si>
  <si>
    <t>lacikaysomers</t>
  </si>
  <si>
    <t>158.6K</t>
  </si>
  <si>
    <t>272.3K</t>
  </si>
  <si>
    <t>karna.val</t>
  </si>
  <si>
    <t>385.1K</t>
  </si>
  <si>
    <t>449.2K</t>
  </si>
  <si>
    <t>arsenal</t>
  </si>
  <si>
    <t>97.3K</t>
  </si>
  <si>
    <t>146K</t>
  </si>
  <si>
    <t>anas</t>
  </si>
  <si>
    <t>FamilyShows</t>
  </si>
  <si>
    <t>577.7K</t>
  </si>
  <si>
    <t>saipallavi.senthamarai</t>
  </si>
  <si>
    <t>481.1K</t>
  </si>
  <si>
    <t>551.9K</t>
  </si>
  <si>
    <t>nct_dream</t>
  </si>
  <si>
    <t>280.8K</t>
  </si>
  <si>
    <t>violets.tv</t>
  </si>
  <si>
    <t>171.7K</t>
  </si>
  <si>
    <t>236K</t>
  </si>
  <si>
    <t>tohi</t>
  </si>
  <si>
    <t>188.4K</t>
  </si>
  <si>
    <t>275.2K</t>
  </si>
  <si>
    <t>rodridepaul</t>
  </si>
  <si>
    <t>372.7K</t>
  </si>
  <si>
    <t>675.7K</t>
  </si>
  <si>
    <t>maneskinofficial</t>
  </si>
  <si>
    <t>374.4K</t>
  </si>
  <si>
    <t>528.4K</t>
  </si>
  <si>
    <t>wanda_nara</t>
  </si>
  <si>
    <t>233.3K</t>
  </si>
  <si>
    <t>perspolis</t>
  </si>
  <si>
    <t>281.2K</t>
  </si>
  <si>
    <t>grisha_eric</t>
  </si>
  <si>
    <t>12.4M</t>
  </si>
  <si>
    <t>174.8K</t>
  </si>
  <si>
    <t>252.1K</t>
  </si>
  <si>
    <t>miamalkova</t>
  </si>
  <si>
    <t>211.9K</t>
  </si>
  <si>
    <t>287.6K</t>
  </si>
  <si>
    <t>nba</t>
  </si>
  <si>
    <t>69M</t>
  </si>
  <si>
    <t>29.9K</t>
  </si>
  <si>
    <t>45.3K</t>
  </si>
  <si>
    <t>gima_ashi</t>
  </si>
  <si>
    <t>157.3K</t>
  </si>
  <si>
    <t>214.4K</t>
  </si>
  <si>
    <t>burcuozberk</t>
  </si>
  <si>
    <t>263.7K</t>
  </si>
  <si>
    <t>341.7K</t>
  </si>
  <si>
    <t>everyone_woo</t>
  </si>
  <si>
    <t>835K</t>
  </si>
  <si>
    <t>egupta</t>
  </si>
  <si>
    <t>286.4K</t>
  </si>
  <si>
    <t>359.1K</t>
  </si>
  <si>
    <t>jennifer.garner</t>
  </si>
  <si>
    <t>202.7K</t>
  </si>
  <si>
    <t>229.3K</t>
  </si>
  <si>
    <t>normani</t>
  </si>
  <si>
    <t>271.1K</t>
  </si>
  <si>
    <t>423.6K</t>
  </si>
  <si>
    <t>03_hu</t>
  </si>
  <si>
    <t>600.1K</t>
  </si>
  <si>
    <t>736.1K</t>
  </si>
  <si>
    <t>mrancelotti</t>
  </si>
  <si>
    <t>234.7K</t>
  </si>
  <si>
    <t>366K</t>
  </si>
  <si>
    <t>jorgelopez_as</t>
  </si>
  <si>
    <t>194K</t>
  </si>
  <si>
    <t>huddy</t>
  </si>
  <si>
    <t>186.1K</t>
  </si>
  <si>
    <t>256.9K</t>
  </si>
  <si>
    <t>kenzie</t>
  </si>
  <si>
    <t>132.3K</t>
  </si>
  <si>
    <t>staskaranikolaou</t>
  </si>
  <si>
    <t>184.6K</t>
  </si>
  <si>
    <t>271.4K</t>
  </si>
  <si>
    <t>saharghoreyshiofficialpage</t>
  </si>
  <si>
    <t>262K</t>
  </si>
  <si>
    <t>beberexha</t>
  </si>
  <si>
    <t>188.5K</t>
  </si>
  <si>
    <t>279.2K</t>
  </si>
  <si>
    <t>dqsalmaan</t>
  </si>
  <si>
    <t>208.6K</t>
  </si>
  <si>
    <t>282.5K</t>
  </si>
  <si>
    <t>soyneiva</t>
  </si>
  <si>
    <t>11.9M</t>
  </si>
  <si>
    <t>252.2K</t>
  </si>
  <si>
    <t>tamannaahspeaks</t>
  </si>
  <si>
    <t>148.1K</t>
  </si>
  <si>
    <t>172.8K</t>
  </si>
  <si>
    <t>dava_m</t>
  </si>
  <si>
    <t>170.9K</t>
  </si>
  <si>
    <t>220.9K</t>
  </si>
  <si>
    <t>nodal</t>
  </si>
  <si>
    <t>220.7K</t>
  </si>
  <si>
    <t>324.8K</t>
  </si>
  <si>
    <t>vanessabryant</t>
  </si>
  <si>
    <t>Sports with a ballLifestyleKids &amp; Toys</t>
  </si>
  <si>
    <t>15.6M</t>
  </si>
  <si>
    <t>144.6K</t>
  </si>
  <si>
    <t>littlemix</t>
  </si>
  <si>
    <t>137.9K</t>
  </si>
  <si>
    <t>186.4K</t>
  </si>
  <si>
    <t>issavegas</t>
  </si>
  <si>
    <t>281.7K</t>
  </si>
  <si>
    <t>330.8K</t>
  </si>
  <si>
    <t>iqbaal.e</t>
  </si>
  <si>
    <t>127.7K</t>
  </si>
  <si>
    <t>220K</t>
  </si>
  <si>
    <t>fadiljaidi</t>
  </si>
  <si>
    <t>7.7M</t>
  </si>
  <si>
    <t>259.5K</t>
  </si>
  <si>
    <t>briandadeyanara</t>
  </si>
  <si>
    <t>192.5K</t>
  </si>
  <si>
    <t>226.6K</t>
  </si>
  <si>
    <t>avrillavigne</t>
  </si>
  <si>
    <t>207.3K</t>
  </si>
  <si>
    <t>257.7K</t>
  </si>
  <si>
    <t>rafaelnadal</t>
  </si>
  <si>
    <t>151.1K</t>
  </si>
  <si>
    <t>188.8K</t>
  </si>
  <si>
    <t>dearra</t>
  </si>
  <si>
    <t>478.5K</t>
  </si>
  <si>
    <t>courteneycoxofficial</t>
  </si>
  <si>
    <t>239.4K</t>
  </si>
  <si>
    <t>superm</t>
  </si>
  <si>
    <t>ShowsMusic</t>
  </si>
  <si>
    <t>570.4K</t>
  </si>
  <si>
    <t>tamerhosny</t>
  </si>
  <si>
    <t>105K</t>
  </si>
  <si>
    <t>129.1K</t>
  </si>
  <si>
    <t>valentinazenere</t>
  </si>
  <si>
    <t>290.3K</t>
  </si>
  <si>
    <t>maddieziegler</t>
  </si>
  <si>
    <t>208.1K</t>
  </si>
  <si>
    <t>canelo</t>
  </si>
  <si>
    <t>154.5K</t>
  </si>
  <si>
    <t>215.7K</t>
  </si>
  <si>
    <t>vernonline</t>
  </si>
  <si>
    <t>719.4K</t>
  </si>
  <si>
    <t>veradijkmans</t>
  </si>
  <si>
    <t>willevy</t>
  </si>
  <si>
    <t>ShowsCinema &amp; Actors/actressesModeling</t>
  </si>
  <si>
    <t>204.3K</t>
  </si>
  <si>
    <t>natalee.007</t>
  </si>
  <si>
    <t>ModelingMusic</t>
  </si>
  <si>
    <t>328K</t>
  </si>
  <si>
    <t>419.6K</t>
  </si>
  <si>
    <t>indiaroyale</t>
  </si>
  <si>
    <t>232.1K</t>
  </si>
  <si>
    <t>sebastianyatra</t>
  </si>
  <si>
    <t>29.7M</t>
  </si>
  <si>
    <t>70.6K</t>
  </si>
  <si>
    <t>97.6K</t>
  </si>
  <si>
    <t>yefersoncossio</t>
  </si>
  <si>
    <t>313K</t>
  </si>
  <si>
    <t>nabilla</t>
  </si>
  <si>
    <t>275K</t>
  </si>
  <si>
    <t>378.6K</t>
  </si>
  <si>
    <t>andresiniesta8</t>
  </si>
  <si>
    <t>39.7M</t>
  </si>
  <si>
    <t>49.4K</t>
  </si>
  <si>
    <t>72.2K</t>
  </si>
  <si>
    <t>spacex</t>
  </si>
  <si>
    <t>ScienceMachinery &amp; Technologies</t>
  </si>
  <si>
    <t>letthelordbewithyou</t>
  </si>
  <si>
    <t>68.8K</t>
  </si>
  <si>
    <t>soueunavida</t>
  </si>
  <si>
    <t>84.2K</t>
  </si>
  <si>
    <t>tiagopzk</t>
  </si>
  <si>
    <t>249.9K</t>
  </si>
  <si>
    <t>570.3K</t>
  </si>
  <si>
    <t>la_beaute_africaine</t>
  </si>
  <si>
    <t>Senegal</t>
  </si>
  <si>
    <t>919.9K</t>
  </si>
  <si>
    <t>alvaromorata</t>
  </si>
  <si>
    <t>Sports with a ballLiterature &amp; Journalism</t>
  </si>
  <si>
    <t>105.7K</t>
  </si>
  <si>
    <t>164.1K</t>
  </si>
  <si>
    <t>ansufati</t>
  </si>
  <si>
    <t>217.8K</t>
  </si>
  <si>
    <t>joelocke03</t>
  </si>
  <si>
    <t>918.6K</t>
  </si>
  <si>
    <t>dagelan</t>
  </si>
  <si>
    <t>bumkeyk</t>
  </si>
  <si>
    <t>259.1K</t>
  </si>
  <si>
    <t>310.4K</t>
  </si>
  <si>
    <t>tombrady</t>
  </si>
  <si>
    <t>123K</t>
  </si>
  <si>
    <t>streetartglobe</t>
  </si>
  <si>
    <t>nobru</t>
  </si>
  <si>
    <t>Machinery &amp; TechnologiesComputers &amp; Gadgets</t>
  </si>
  <si>
    <t>145.3K</t>
  </si>
  <si>
    <t>philfoden</t>
  </si>
  <si>
    <t>326.2K</t>
  </si>
  <si>
    <t>571.5K</t>
  </si>
  <si>
    <t>brycehall</t>
  </si>
  <si>
    <t>304.6K</t>
  </si>
  <si>
    <t>390.7K</t>
  </si>
  <si>
    <t>kaka</t>
  </si>
  <si>
    <t>91K</t>
  </si>
  <si>
    <t>adidasfootball</t>
  </si>
  <si>
    <t>31.5M</t>
  </si>
  <si>
    <t>64.8K</t>
  </si>
  <si>
    <t>88.1K</t>
  </si>
  <si>
    <t>asala</t>
  </si>
  <si>
    <t>408.6K</t>
  </si>
  <si>
    <t>theamitbhadana</t>
  </si>
  <si>
    <t>342.8K</t>
  </si>
  <si>
    <t>yg_treasure_official</t>
  </si>
  <si>
    <t>408.9K</t>
  </si>
  <si>
    <t>522.6K</t>
  </si>
  <si>
    <t>brfootball</t>
  </si>
  <si>
    <t>222.5K</t>
  </si>
  <si>
    <t>jenna_chew</t>
  </si>
  <si>
    <t>344.9K</t>
  </si>
  <si>
    <t>421.4K</t>
  </si>
  <si>
    <t>cocielo</t>
  </si>
  <si>
    <t>94.5K</t>
  </si>
  <si>
    <t>147.7K</t>
  </si>
  <si>
    <t>hyeri_0609</t>
  </si>
  <si>
    <t>320.1K</t>
  </si>
  <si>
    <t>385.7K</t>
  </si>
  <si>
    <t>netflix</t>
  </si>
  <si>
    <t>30.4M</t>
  </si>
  <si>
    <t>55.8K</t>
  </si>
  <si>
    <t>90.5K</t>
  </si>
  <si>
    <t>sagar_pop02</t>
  </si>
  <si>
    <t>7.5M</t>
  </si>
  <si>
    <t>373.9K</t>
  </si>
  <si>
    <t>skaijackson</t>
  </si>
  <si>
    <t>198.4K</t>
  </si>
  <si>
    <t>350.5K</t>
  </si>
  <si>
    <t>dejesusoficial</t>
  </si>
  <si>
    <t>101.6K</t>
  </si>
  <si>
    <t>156.8K</t>
  </si>
  <si>
    <t>kawtarbamo</t>
  </si>
  <si>
    <t>277K</t>
  </si>
  <si>
    <t>375.3K</t>
  </si>
  <si>
    <t>roddyricch</t>
  </si>
  <si>
    <t>210.5K</t>
  </si>
  <si>
    <t>barackobama</t>
  </si>
  <si>
    <t>66.7K</t>
  </si>
  <si>
    <t>77.5K</t>
  </si>
  <si>
    <t>dhanushkraja</t>
  </si>
  <si>
    <t>489.7K</t>
  </si>
  <si>
    <t>634.4K</t>
  </si>
  <si>
    <t>bowerjamie</t>
  </si>
  <si>
    <t>547.2K</t>
  </si>
  <si>
    <t>730K</t>
  </si>
  <si>
    <t>galatasaray</t>
  </si>
  <si>
    <t>195.7K</t>
  </si>
  <si>
    <t>236.4K</t>
  </si>
  <si>
    <t>tomhardy</t>
  </si>
  <si>
    <t>LifestyleCinema &amp; Actors/actressesModeling</t>
  </si>
  <si>
    <t>252.6K</t>
  </si>
  <si>
    <t>313.5K</t>
  </si>
  <si>
    <t>pooorblack</t>
  </si>
  <si>
    <t>472.8K</t>
  </si>
  <si>
    <t>611.6K</t>
  </si>
  <si>
    <t>tejasswiprakash</t>
  </si>
  <si>
    <t>396.1K</t>
  </si>
  <si>
    <t>491.8K</t>
  </si>
  <si>
    <t>larray</t>
  </si>
  <si>
    <t>LifestyleModelingFashion</t>
  </si>
  <si>
    <t>6.8M</t>
  </si>
  <si>
    <t>princessyahrini</t>
  </si>
  <si>
    <t>39.6M</t>
  </si>
  <si>
    <t>51.4K</t>
  </si>
  <si>
    <t>68K</t>
  </si>
  <si>
    <t>celestinegonzaga</t>
  </si>
  <si>
    <t>323.2K</t>
  </si>
  <si>
    <t>360.6K</t>
  </si>
  <si>
    <t>nicolebahls</t>
  </si>
  <si>
    <t>83.8K</t>
  </si>
  <si>
    <t>148.8K</t>
  </si>
  <si>
    <t>noahbeck</t>
  </si>
  <si>
    <t>180.6K</t>
  </si>
  <si>
    <t>298.3K</t>
  </si>
  <si>
    <t>jordialbaoficial</t>
  </si>
  <si>
    <t>128.6K</t>
  </si>
  <si>
    <t>185.5K</t>
  </si>
  <si>
    <t>teyanataylor</t>
  </si>
  <si>
    <t>104.2K</t>
  </si>
  <si>
    <t>residente</t>
  </si>
  <si>
    <t>202.8K</t>
  </si>
  <si>
    <t>314.7K</t>
  </si>
  <si>
    <t>sivakarthikeyan</t>
  </si>
  <si>
    <t>456K</t>
  </si>
  <si>
    <t>537.1K</t>
  </si>
  <si>
    <t>wolfiecindy</t>
  </si>
  <si>
    <t>383.3K</t>
  </si>
  <si>
    <t>juliopfernandez</t>
  </si>
  <si>
    <t>618.1K</t>
  </si>
  <si>
    <t>786.3K</t>
  </si>
  <si>
    <t>urassayas</t>
  </si>
  <si>
    <t>Cinema &amp; Actors/actressesModelingFashion</t>
  </si>
  <si>
    <t>loud_babi</t>
  </si>
  <si>
    <t>300.5K</t>
  </si>
  <si>
    <t>aurelie.hermansyah</t>
  </si>
  <si>
    <t>80.2K</t>
  </si>
  <si>
    <t>100.8K</t>
  </si>
  <si>
    <t>watanabenaomi703</t>
  </si>
  <si>
    <t>Cinema &amp; Actors/actressesHumor &amp; Fun &amp; HappinessModeling</t>
  </si>
  <si>
    <t>257.2K</t>
  </si>
  <si>
    <t>273.9K</t>
  </si>
  <si>
    <t>sandrinna_11</t>
  </si>
  <si>
    <t>193.9K</t>
  </si>
  <si>
    <t>247.6K</t>
  </si>
  <si>
    <t>irinashayk</t>
  </si>
  <si>
    <t>18.8M</t>
  </si>
  <si>
    <t>102.1K</t>
  </si>
  <si>
    <t>140.8K</t>
  </si>
  <si>
    <t>pledis_boos</t>
  </si>
  <si>
    <t>540.2K</t>
  </si>
  <si>
    <t>654.9K</t>
  </si>
  <si>
    <t>jessicajane99</t>
  </si>
  <si>
    <t>449.4K</t>
  </si>
  <si>
    <t>soydannyalfaro</t>
  </si>
  <si>
    <t>331.6K</t>
  </si>
  <si>
    <t>wdohwan</t>
  </si>
  <si>
    <t>452.2K</t>
  </si>
  <si>
    <t>599.2K</t>
  </si>
  <si>
    <t>albafloresoficial</t>
  </si>
  <si>
    <t>167.3K</t>
  </si>
  <si>
    <t>225.4K</t>
  </si>
  <si>
    <t>borodylia</t>
  </si>
  <si>
    <t>143.4K</t>
  </si>
  <si>
    <t>markruffalo</t>
  </si>
  <si>
    <t>100K</t>
  </si>
  <si>
    <t>127.3K</t>
  </si>
  <si>
    <t>adinross</t>
  </si>
  <si>
    <t>509K</t>
  </si>
  <si>
    <t>anwar</t>
  </si>
  <si>
    <t>173.7K</t>
  </si>
  <si>
    <t>256K</t>
  </si>
  <si>
    <t>iampauloandre</t>
  </si>
  <si>
    <t>76.9K</t>
  </si>
  <si>
    <t>270.3K</t>
  </si>
  <si>
    <t>mirandacosgrove</t>
  </si>
  <si>
    <t>172.6K</t>
  </si>
  <si>
    <t>269.2K</t>
  </si>
  <si>
    <t>nikitadragun</t>
  </si>
  <si>
    <t>BeautyModelingAdult content</t>
  </si>
  <si>
    <t>295.7K</t>
  </si>
  <si>
    <t>alexis_officia1</t>
  </si>
  <si>
    <t>Chile</t>
  </si>
  <si>
    <t>113K</t>
  </si>
  <si>
    <t>186.3K</t>
  </si>
  <si>
    <t>sophiedee</t>
  </si>
  <si>
    <t>214.2K</t>
  </si>
  <si>
    <t>marcoasensio10</t>
  </si>
  <si>
    <t>116.5K</t>
  </si>
  <si>
    <t>elliotpage</t>
  </si>
  <si>
    <t>299.7K</t>
  </si>
  <si>
    <t>431.5K</t>
  </si>
  <si>
    <t>theellenshow</t>
  </si>
  <si>
    <t>123.7M</t>
  </si>
  <si>
    <t>20.6K</t>
  </si>
  <si>
    <t>21.1K</t>
  </si>
  <si>
    <t>dudewithsign</t>
  </si>
  <si>
    <t>204.9K</t>
  </si>
  <si>
    <t>jamorant</t>
  </si>
  <si>
    <t>218.9K</t>
  </si>
  <si>
    <t>353.7K</t>
  </si>
  <si>
    <t>josephquinn</t>
  </si>
  <si>
    <t>saythename_17</t>
  </si>
  <si>
    <t>ludmilla</t>
  </si>
  <si>
    <t>64.7K</t>
  </si>
  <si>
    <t>nidhhiagerwal</t>
  </si>
  <si>
    <t>LifestyleModelingCinema &amp; Actors/actresses</t>
  </si>
  <si>
    <t>anirudhofficial</t>
  </si>
  <si>
    <t>342.5K</t>
  </si>
  <si>
    <t>433.6K</t>
  </si>
  <si>
    <t>kto_takaya</t>
  </si>
  <si>
    <t>303.5K</t>
  </si>
  <si>
    <t>you_r_love</t>
  </si>
  <si>
    <t>364.2K</t>
  </si>
  <si>
    <t>465.3K</t>
  </si>
  <si>
    <t>kikakim</t>
  </si>
  <si>
    <t>Kazakhstan</t>
  </si>
  <si>
    <t>279.9K</t>
  </si>
  <si>
    <t>chelseafc</t>
  </si>
  <si>
    <t>48.9K</t>
  </si>
  <si>
    <t>72.7K</t>
  </si>
  <si>
    <t>luara</t>
  </si>
  <si>
    <t>95.9K</t>
  </si>
  <si>
    <t>158.3K</t>
  </si>
  <si>
    <t>filiperet</t>
  </si>
  <si>
    <t>379.4K</t>
  </si>
  <si>
    <t>subo_m</t>
  </si>
  <si>
    <t>213.8K</t>
  </si>
  <si>
    <t>rogerfederer</t>
  </si>
  <si>
    <t>205.3K</t>
  </si>
  <si>
    <t>belindapop</t>
  </si>
  <si>
    <t>113.6K</t>
  </si>
  <si>
    <t>162.8K</t>
  </si>
  <si>
    <t>miketyson</t>
  </si>
  <si>
    <t>102K</t>
  </si>
  <si>
    <t>131.2K</t>
  </si>
  <si>
    <t>sonu_sood</t>
  </si>
  <si>
    <t>151.5K</t>
  </si>
  <si>
    <t>sinavaliollah</t>
  </si>
  <si>
    <t>277.1K</t>
  </si>
  <si>
    <t>350.1K</t>
  </si>
  <si>
    <t>priyankaamohanofficial</t>
  </si>
  <si>
    <t>677K</t>
  </si>
  <si>
    <t>777K</t>
  </si>
  <si>
    <t>massafera</t>
  </si>
  <si>
    <t>25.3M</t>
  </si>
  <si>
    <t>67.2K</t>
  </si>
  <si>
    <t>97.8K</t>
  </si>
  <si>
    <t>bleacherreport</t>
  </si>
  <si>
    <t>19.3M</t>
  </si>
  <si>
    <t>128.4K</t>
  </si>
  <si>
    <t>lizzobeeating</t>
  </si>
  <si>
    <t>12.7M</t>
  </si>
  <si>
    <t>193.2K</t>
  </si>
  <si>
    <t>raashiikhanna</t>
  </si>
  <si>
    <t>246.4K</t>
  </si>
  <si>
    <t>293.8K</t>
  </si>
  <si>
    <t>toniruediger</t>
  </si>
  <si>
    <t>414.4K</t>
  </si>
  <si>
    <t>622.5K</t>
  </si>
  <si>
    <t>fernandasouzaoficial</t>
  </si>
  <si>
    <t>22M</t>
  </si>
  <si>
    <t>81.1K</t>
  </si>
  <si>
    <t>111.6K</t>
  </si>
  <si>
    <t>fedeevalverde</t>
  </si>
  <si>
    <t>278.8K</t>
  </si>
  <si>
    <t>395K</t>
  </si>
  <si>
    <t>mohanshakti</t>
  </si>
  <si>
    <t>Art/ArtistsCinema &amp; Actors/actresses</t>
  </si>
  <si>
    <t>124.3K</t>
  </si>
  <si>
    <t>150K</t>
  </si>
  <si>
    <t>gabigol</t>
  </si>
  <si>
    <t>167K</t>
  </si>
  <si>
    <t>252.5K</t>
  </si>
  <si>
    <t>rebelwilson</t>
  </si>
  <si>
    <t>185.8K</t>
  </si>
  <si>
    <t>aidanrgallagher</t>
  </si>
  <si>
    <t>friends</t>
  </si>
  <si>
    <t>161.5K</t>
  </si>
  <si>
    <t>iamyanetgarcia</t>
  </si>
  <si>
    <t>128.2K</t>
  </si>
  <si>
    <t>163K</t>
  </si>
  <si>
    <t>vanessalopesr_</t>
  </si>
  <si>
    <t>63.1K</t>
  </si>
  <si>
    <t>funnymike</t>
  </si>
  <si>
    <t>174.7K</t>
  </si>
  <si>
    <t>309.2K</t>
  </si>
  <si>
    <t>ahmedabohashima</t>
  </si>
  <si>
    <t>Business &amp; CareersFinance &amp; Economics</t>
  </si>
  <si>
    <t>15.7M</t>
  </si>
  <si>
    <t>112.8K</t>
  </si>
  <si>
    <t>152.6K</t>
  </si>
  <si>
    <t>min.nicha</t>
  </si>
  <si>
    <t>473.2K</t>
  </si>
  <si>
    <t>646.4K</t>
  </si>
  <si>
    <t>39saku_chan</t>
  </si>
  <si>
    <t>542.9K</t>
  </si>
  <si>
    <t>669.3K</t>
  </si>
  <si>
    <t>bclsinclair</t>
  </si>
  <si>
    <t>21M</t>
  </si>
  <si>
    <t>71.9K</t>
  </si>
  <si>
    <t>humansofny</t>
  </si>
  <si>
    <t>167.2K</t>
  </si>
  <si>
    <t>197.8K</t>
  </si>
  <si>
    <t>dk_is_dokyeom</t>
  </si>
  <si>
    <t>674.8K</t>
  </si>
  <si>
    <t>813.2K</t>
  </si>
  <si>
    <t>mariapedraza_</t>
  </si>
  <si>
    <t>150.1K</t>
  </si>
  <si>
    <t>198K</t>
  </si>
  <si>
    <t>ms.sethii</t>
  </si>
  <si>
    <t>376.6K</t>
  </si>
  <si>
    <t>nazormaya</t>
  </si>
  <si>
    <t>459.2K</t>
  </si>
  <si>
    <t>679.7K</t>
  </si>
  <si>
    <t>arashi_5_official</t>
  </si>
  <si>
    <t>536.8K</t>
  </si>
  <si>
    <t>559.8K</t>
  </si>
  <si>
    <t>francinyehlke</t>
  </si>
  <si>
    <t>70.7K</t>
  </si>
  <si>
    <t>154.4K</t>
  </si>
  <si>
    <t>lucianohuck</t>
  </si>
  <si>
    <t>93.1K</t>
  </si>
  <si>
    <t>117.4K</t>
  </si>
  <si>
    <t>xbox</t>
  </si>
  <si>
    <t>151.7K</t>
  </si>
  <si>
    <t>185.4K</t>
  </si>
  <si>
    <t>jadenhossler</t>
  </si>
  <si>
    <t>336.5K</t>
  </si>
  <si>
    <t>518.9K</t>
  </si>
  <si>
    <t>leighannepinnock</t>
  </si>
  <si>
    <t>184.4K</t>
  </si>
  <si>
    <t>262.5K</t>
  </si>
  <si>
    <t>alexisren</t>
  </si>
  <si>
    <t>89.6K</t>
  </si>
  <si>
    <t>139.8K</t>
  </si>
  <si>
    <t>i_nivethathomas</t>
  </si>
  <si>
    <t>338K</t>
  </si>
  <si>
    <t>tontawan</t>
  </si>
  <si>
    <t>481.5K</t>
  </si>
  <si>
    <t>633.3K</t>
  </si>
  <si>
    <t>serenayss</t>
  </si>
  <si>
    <t>249.6K</t>
  </si>
  <si>
    <t>alexadellanos</t>
  </si>
  <si>
    <t>158.2K</t>
  </si>
  <si>
    <t>247.4K</t>
  </si>
  <si>
    <t>gildovigor</t>
  </si>
  <si>
    <t>FamilyLifestyleCinema &amp; Actors/actresses</t>
  </si>
  <si>
    <t>160.7K</t>
  </si>
  <si>
    <t>dance_malyshka_offi</t>
  </si>
  <si>
    <t>528.5K</t>
  </si>
  <si>
    <t>676.7K</t>
  </si>
  <si>
    <t>oprah</t>
  </si>
  <si>
    <t>Art/ArtistsCinema &amp; Actors/actressesShows</t>
  </si>
  <si>
    <t>91.3K</t>
  </si>
  <si>
    <t>108.3K</t>
  </si>
  <si>
    <t>jadethirlwall</t>
  </si>
  <si>
    <t>190.3K</t>
  </si>
  <si>
    <t>249.1K</t>
  </si>
  <si>
    <t>mterstegen1</t>
  </si>
  <si>
    <t>111.7K</t>
  </si>
  <si>
    <t>168.1K</t>
  </si>
  <si>
    <t>madonna</t>
  </si>
  <si>
    <t>83.7K</t>
  </si>
  <si>
    <t>125.6K</t>
  </si>
  <si>
    <t>karrrambaby</t>
  </si>
  <si>
    <t>520.5K</t>
  </si>
  <si>
    <t>577.4K</t>
  </si>
  <si>
    <t>sincerooficial</t>
  </si>
  <si>
    <t>54.6K</t>
  </si>
  <si>
    <t>105.3K</t>
  </si>
  <si>
    <t>coldplay</t>
  </si>
  <si>
    <t>98.2K</t>
  </si>
  <si>
    <t>136.7K</t>
  </si>
  <si>
    <t>tommyinnit</t>
  </si>
  <si>
    <t>586.8K</t>
  </si>
  <si>
    <t>662.4K</t>
  </si>
  <si>
    <t>vicdeangelis</t>
  </si>
  <si>
    <t>619.6K</t>
  </si>
  <si>
    <t>kaylanicolejones</t>
  </si>
  <si>
    <t>mahnaz_afshar</t>
  </si>
  <si>
    <t>16.3M</t>
  </si>
  <si>
    <t>101.3K</t>
  </si>
  <si>
    <t>139K</t>
  </si>
  <si>
    <t>eda.ece</t>
  </si>
  <si>
    <t>283.8K</t>
  </si>
  <si>
    <t>ateez_official_</t>
  </si>
  <si>
    <t>337.8K</t>
  </si>
  <si>
    <t>wizkhalifa</t>
  </si>
  <si>
    <t>38.4M</t>
  </si>
  <si>
    <t>41.3K</t>
  </si>
  <si>
    <t>58.5K</t>
  </si>
  <si>
    <t>dean.schneider</t>
  </si>
  <si>
    <t>Animals</t>
  </si>
  <si>
    <t>173.1K</t>
  </si>
  <si>
    <t>222K</t>
  </si>
  <si>
    <t>hazalkaya</t>
  </si>
  <si>
    <t>7.2M</t>
  </si>
  <si>
    <t>266.8K</t>
  </si>
  <si>
    <t>316.1K</t>
  </si>
  <si>
    <t>sooyoungchoi</t>
  </si>
  <si>
    <t>BeautyLifestyleFashion</t>
  </si>
  <si>
    <t>264.1K</t>
  </si>
  <si>
    <t>318.8K</t>
  </si>
  <si>
    <t>therealjosephmorgan</t>
  </si>
  <si>
    <t>226.8K</t>
  </si>
  <si>
    <t>284.3K</t>
  </si>
  <si>
    <t>isaias</t>
  </si>
  <si>
    <t>75.3K</t>
  </si>
  <si>
    <t>248K</t>
  </si>
  <si>
    <t>rossbutler</t>
  </si>
  <si>
    <t>213.4K</t>
  </si>
  <si>
    <t>jackblack</t>
  </si>
  <si>
    <t>196.6K</t>
  </si>
  <si>
    <t>256.7K</t>
  </si>
  <si>
    <t>tammyhembrow</t>
  </si>
  <si>
    <t>76.8K</t>
  </si>
  <si>
    <t>145K</t>
  </si>
  <si>
    <t>themermaidscales</t>
  </si>
  <si>
    <t>dababy</t>
  </si>
  <si>
    <t>65.3K</t>
  </si>
  <si>
    <t>105.9K</t>
  </si>
  <si>
    <t>theshilpashetty</t>
  </si>
  <si>
    <t>26M</t>
  </si>
  <si>
    <t>74.1K</t>
  </si>
  <si>
    <t>85.3K</t>
  </si>
  <si>
    <t>adamsandler</t>
  </si>
  <si>
    <t>130.5K</t>
  </si>
  <si>
    <t>166.6K</t>
  </si>
  <si>
    <t>elcinsangu</t>
  </si>
  <si>
    <t>264.7K</t>
  </si>
  <si>
    <t>kashikakapoor09</t>
  </si>
  <si>
    <t>278.4K</t>
  </si>
  <si>
    <t>jessica.syj</t>
  </si>
  <si>
    <t>ModelingBeauty</t>
  </si>
  <si>
    <t>168.8K</t>
  </si>
  <si>
    <t>206.1K</t>
  </si>
  <si>
    <t>esbilgic</t>
  </si>
  <si>
    <t>252.4K</t>
  </si>
  <si>
    <t>321.2K</t>
  </si>
  <si>
    <t>imcryansp</t>
  </si>
  <si>
    <t>236.1K</t>
  </si>
  <si>
    <t>561.7K</t>
  </si>
  <si>
    <t>canyaman</t>
  </si>
  <si>
    <t>230.9K</t>
  </si>
  <si>
    <t>eilirjani</t>
  </si>
  <si>
    <t>Albania</t>
  </si>
  <si>
    <t>147.5K</t>
  </si>
  <si>
    <t>212.9K</t>
  </si>
  <si>
    <t>jeremyrenner</t>
  </si>
  <si>
    <t>17.8M</t>
  </si>
  <si>
    <t>102.8K</t>
  </si>
  <si>
    <t>felicyangelista_</t>
  </si>
  <si>
    <t>101.4K</t>
  </si>
  <si>
    <t>grefg_official</t>
  </si>
  <si>
    <t>247.3K</t>
  </si>
  <si>
    <t>297.8K</t>
  </si>
  <si>
    <t>cole.labrant</t>
  </si>
  <si>
    <t>LifestyleFashion</t>
  </si>
  <si>
    <t>310.9K</t>
  </si>
  <si>
    <t>438.1K</t>
  </si>
  <si>
    <t>e_milygarcia</t>
  </si>
  <si>
    <t>11.2M</t>
  </si>
  <si>
    <t>119.2K</t>
  </si>
  <si>
    <t>197.2K</t>
  </si>
  <si>
    <t>jharden13</t>
  </si>
  <si>
    <t>109.8K</t>
  </si>
  <si>
    <t>samsmith</t>
  </si>
  <si>
    <t>149.3K</t>
  </si>
  <si>
    <t>ncentineo</t>
  </si>
  <si>
    <t>77.8K</t>
  </si>
  <si>
    <t>valeyellow46</t>
  </si>
  <si>
    <t>119.3K</t>
  </si>
  <si>
    <t>155.9K</t>
  </si>
  <si>
    <t>pharrell</t>
  </si>
  <si>
    <t>joshrichards</t>
  </si>
  <si>
    <t>ShowsModeling</t>
  </si>
  <si>
    <t>225.8K</t>
  </si>
  <si>
    <t>316.7K</t>
  </si>
  <si>
    <t>rubyrose</t>
  </si>
  <si>
    <t>19.7M</t>
  </si>
  <si>
    <t>82.5K</t>
  </si>
  <si>
    <t>109.7K</t>
  </si>
  <si>
    <t>sabinahidalgo</t>
  </si>
  <si>
    <t>LifestyleMusicArt/Artists</t>
  </si>
  <si>
    <t>399.6K</t>
  </si>
  <si>
    <t>479.5K</t>
  </si>
  <si>
    <t>hitocaesar</t>
  </si>
  <si>
    <t>112.9K</t>
  </si>
  <si>
    <t>159K</t>
  </si>
  <si>
    <t>romeestrijd</t>
  </si>
  <si>
    <t>190.2K</t>
  </si>
  <si>
    <t>283.9K</t>
  </si>
  <si>
    <t>wikkiofficial</t>
  </si>
  <si>
    <t>Humor &amp; Fun &amp; HappinessCinema &amp; Actors/actresses</t>
  </si>
  <si>
    <t>675.1K</t>
  </si>
  <si>
    <t>840.6K</t>
  </si>
  <si>
    <t>apple</t>
  </si>
  <si>
    <t>Computers &amp; GadgetsPhotography</t>
  </si>
  <si>
    <t>57.9K</t>
  </si>
  <si>
    <t>77.3K</t>
  </si>
  <si>
    <t>divyankatripathidahiya</t>
  </si>
  <si>
    <t>92K</t>
  </si>
  <si>
    <t>hadise</t>
  </si>
  <si>
    <t>133.2K</t>
  </si>
  <si>
    <t>realhinakhan</t>
  </si>
  <si>
    <t>125.3K</t>
  </si>
  <si>
    <t>krithi.shetty_official</t>
  </si>
  <si>
    <t>BeautyHumor &amp; Fun &amp; HappinessCinema &amp; Actors/actresses</t>
  </si>
  <si>
    <t>527.9K</t>
  </si>
  <si>
    <t>624.4K</t>
  </si>
  <si>
    <t>dorra_zarrouk</t>
  </si>
  <si>
    <t>15.8M</t>
  </si>
  <si>
    <t>roberto_firmino</t>
  </si>
  <si>
    <t>104.7K</t>
  </si>
  <si>
    <t>156.1K</t>
  </si>
  <si>
    <t>alvaromorte</t>
  </si>
  <si>
    <t>126.8K</t>
  </si>
  <si>
    <t>wilbursoot</t>
  </si>
  <si>
    <t>539.9K</t>
  </si>
  <si>
    <t>692.2K</t>
  </si>
  <si>
    <t>warriors</t>
  </si>
  <si>
    <t>24.8M</t>
  </si>
  <si>
    <t>60.9K</t>
  </si>
  <si>
    <t>85.5K</t>
  </si>
  <si>
    <t>jacksepticeye</t>
  </si>
  <si>
    <t>233.5K</t>
  </si>
  <si>
    <t>271K</t>
  </si>
  <si>
    <t>hank_says_hank</t>
  </si>
  <si>
    <t>566.7K</t>
  </si>
  <si>
    <t>665.1K</t>
  </si>
  <si>
    <t>bypamella</t>
  </si>
  <si>
    <t>127.8K</t>
  </si>
  <si>
    <t>pandorakaaki</t>
  </si>
  <si>
    <t>295.2K</t>
  </si>
  <si>
    <t>jenniferwinget1</t>
  </si>
  <si>
    <t>131.1K</t>
  </si>
  <si>
    <t>nadine.nassib.njeim</t>
  </si>
  <si>
    <t>98.8K</t>
  </si>
  <si>
    <t>140.4K</t>
  </si>
  <si>
    <t>shahinsamadpoor</t>
  </si>
  <si>
    <t>Literature &amp; JournalismCinema &amp; Actors/actresses</t>
  </si>
  <si>
    <t>365.3K</t>
  </si>
  <si>
    <t>481.4K</t>
  </si>
  <si>
    <t>julienco_</t>
  </si>
  <si>
    <t>273.4K</t>
  </si>
  <si>
    <t>337.5K</t>
  </si>
  <si>
    <t>allusnehareddy</t>
  </si>
  <si>
    <t>voguemagazine</t>
  </si>
  <si>
    <t>Literature &amp; JournalismFashion</t>
  </si>
  <si>
    <t>34.2K</t>
  </si>
  <si>
    <t>52.5K</t>
  </si>
  <si>
    <t>ho5hi_kwon</t>
  </si>
  <si>
    <t>547K</t>
  </si>
  <si>
    <t>712.1K</t>
  </si>
  <si>
    <t>melissabenoist</t>
  </si>
  <si>
    <t>324.7K</t>
  </si>
  <si>
    <t>barstoolsports</t>
  </si>
  <si>
    <t>148.2K</t>
  </si>
  <si>
    <t>piyanka_mongia</t>
  </si>
  <si>
    <t>Humor &amp; Fun &amp; HappinessLifestyleBeauty</t>
  </si>
  <si>
    <t>191.5K</t>
  </si>
  <si>
    <t>240.4K</t>
  </si>
  <si>
    <t>5sos</t>
  </si>
  <si>
    <t>147.4K</t>
  </si>
  <si>
    <t>203.6K</t>
  </si>
  <si>
    <t>jxxvvxxk</t>
  </si>
  <si>
    <t>614.3K</t>
  </si>
  <si>
    <t>lynaritaa</t>
  </si>
  <si>
    <t>176.7K</t>
  </si>
  <si>
    <t>tomo.y9</t>
  </si>
  <si>
    <t>393.6K</t>
  </si>
  <si>
    <t>422K</t>
  </si>
  <si>
    <t>wayvofficial</t>
  </si>
  <si>
    <t>238.2K</t>
  </si>
  <si>
    <t>283.7K</t>
  </si>
  <si>
    <t>supremo_dp</t>
  </si>
  <si>
    <t>337.9K</t>
  </si>
  <si>
    <t>416.3K</t>
  </si>
  <si>
    <t>jaredleto</t>
  </si>
  <si>
    <t>149.9K</t>
  </si>
  <si>
    <t>thariqhalilintar</t>
  </si>
  <si>
    <t>225.6K</t>
  </si>
  <si>
    <t>ferozekhan</t>
  </si>
  <si>
    <t>Pakistan</t>
  </si>
  <si>
    <t>267.4K</t>
  </si>
  <si>
    <t>315.8K</t>
  </si>
  <si>
    <t>garciajoshuae</t>
  </si>
  <si>
    <t>357.5K</t>
  </si>
  <si>
    <t>nimratkhairaofficial</t>
  </si>
  <si>
    <t>211.1K</t>
  </si>
  <si>
    <t>261.8K</t>
  </si>
  <si>
    <t>hanhyojoo222</t>
  </si>
  <si>
    <t>TravelCinema &amp; Actors/actresses</t>
  </si>
  <si>
    <t>518.2K</t>
  </si>
  <si>
    <t>memphisdepay</t>
  </si>
  <si>
    <t>76.4K</t>
  </si>
  <si>
    <t>135.5K</t>
  </si>
  <si>
    <t>arminzareeiofficial</t>
  </si>
  <si>
    <t>135.4K</t>
  </si>
  <si>
    <t>214K</t>
  </si>
  <si>
    <t>noorstars</t>
  </si>
  <si>
    <t>117.6K</t>
  </si>
  <si>
    <t>157.6K</t>
  </si>
  <si>
    <t>Business &amp; CareersFinance</t>
  </si>
  <si>
    <t>Follower_Num</t>
  </si>
  <si>
    <t>Auth_Eng_Num</t>
  </si>
  <si>
    <t>Eng_Avg_Num</t>
  </si>
  <si>
    <t>Engagement_Rate</t>
  </si>
  <si>
    <t>Row Labels</t>
  </si>
  <si>
    <t>Grand Total</t>
  </si>
  <si>
    <t>Average of Engagement_Rate</t>
  </si>
  <si>
    <t>Count of Name</t>
  </si>
  <si>
    <t>(Multiple Items)</t>
  </si>
  <si>
    <t>Follower_Categories</t>
  </si>
  <si>
    <t>Tier 1</t>
  </si>
  <si>
    <t>Tier 2</t>
  </si>
  <si>
    <t>Tier 3</t>
  </si>
  <si>
    <t>Tier 4</t>
  </si>
  <si>
    <t>No</t>
  </si>
  <si>
    <t>Engagement Rate</t>
  </si>
  <si>
    <t>10 Most Recommended Beauty Influencers</t>
  </si>
  <si>
    <t>Follower Categories</t>
  </si>
  <si>
    <t>Influencer Marketing Dashboard – BeautyGlow's Serum Launch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</si>
</sst>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28"/>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9" tint="-0.249977111117893"/>
      </left>
      <right/>
      <top style="medium">
        <color theme="9" tint="-0.249977111117893"/>
      </top>
      <bottom/>
      <diagonal/>
    </border>
    <border>
      <left/>
      <right/>
      <top style="medium">
        <color theme="9" tint="-0.249977111117893"/>
      </top>
      <bottom/>
      <diagonal/>
    </border>
    <border>
      <left/>
      <right style="medium">
        <color theme="9" tint="-0.249977111117893"/>
      </right>
      <top style="medium">
        <color theme="9" tint="-0.249977111117893"/>
      </top>
      <bottom/>
      <diagonal/>
    </border>
    <border>
      <left style="medium">
        <color theme="9" tint="-0.249977111117893"/>
      </left>
      <right/>
      <top/>
      <bottom/>
      <diagonal/>
    </border>
    <border>
      <left/>
      <right style="medium">
        <color theme="9" tint="-0.249977111117893"/>
      </right>
      <top/>
      <bottom/>
      <diagonal/>
    </border>
    <border>
      <left style="medium">
        <color theme="9" tint="-0.249977111117893"/>
      </left>
      <right/>
      <top/>
      <bottom style="medium">
        <color theme="9" tint="-0.249977111117893"/>
      </bottom>
      <diagonal/>
    </border>
    <border>
      <left/>
      <right/>
      <top/>
      <bottom style="medium">
        <color theme="9" tint="-0.249977111117893"/>
      </bottom>
      <diagonal/>
    </border>
    <border>
      <left/>
      <right style="medium">
        <color theme="9" tint="-0.249977111117893"/>
      </right>
      <top/>
      <bottom style="medium">
        <color theme="9" tint="-0.249977111117893"/>
      </bottom>
      <diagonal/>
    </border>
    <border>
      <left style="medium">
        <color theme="9" tint="-0.249977111117893"/>
      </left>
      <right style="medium">
        <color theme="9" tint="-0.249977111117893"/>
      </right>
      <top style="medium">
        <color theme="9" tint="-0.249977111117893"/>
      </top>
      <bottom/>
      <diagonal/>
    </border>
    <border>
      <left style="medium">
        <color theme="9" tint="-0.249977111117893"/>
      </left>
      <right style="medium">
        <color theme="9" tint="-0.249977111117893"/>
      </right>
      <top/>
      <bottom style="medium">
        <color theme="9" tint="-0.249977111117893"/>
      </bottom>
      <diagonal/>
    </border>
    <border>
      <left style="medium">
        <color theme="9" tint="-0.249977111117893"/>
      </left>
      <right style="medium">
        <color theme="9" tint="-0.249977111117893"/>
      </right>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7">
    <xf numFmtId="0" fontId="0" fillId="0" borderId="0" xfId="0"/>
    <xf numFmtId="49" fontId="0" fillId="0" borderId="0" xfId="0" applyNumberFormat="1"/>
    <xf numFmtId="9" fontId="0" fillId="0" borderId="0" xfId="1" applyFont="1"/>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0" borderId="0" xfId="0"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20" xfId="0" applyBorder="1" applyAlignment="1">
      <alignment horizontal="center" vertical="center"/>
    </xf>
    <xf numFmtId="10" fontId="0" fillId="0" borderId="0" xfId="0" applyNumberFormat="1" applyBorder="1"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10" fontId="0" fillId="0" borderId="16" xfId="0" applyNumberFormat="1" applyBorder="1" applyAlignment="1">
      <alignment horizontal="center" vertical="center"/>
    </xf>
    <xf numFmtId="0" fontId="0" fillId="0" borderId="17" xfId="0" applyBorder="1" applyAlignment="1">
      <alignment horizontal="center" vertical="center"/>
    </xf>
    <xf numFmtId="0" fontId="18" fillId="0" borderId="10" xfId="0" applyFont="1" applyBorder="1" applyAlignment="1">
      <alignment vertical="center"/>
    </xf>
    <xf numFmtId="0" fontId="0" fillId="0" borderId="18" xfId="0" applyBorder="1" applyAlignment="1">
      <alignment horizontal="center" vertical="center"/>
    </xf>
    <xf numFmtId="10" fontId="0" fillId="0" borderId="11" xfId="0" applyNumberFormat="1" applyBorder="1" applyAlignment="1">
      <alignment horizontal="center" vertical="center"/>
    </xf>
    <xf numFmtId="0" fontId="0" fillId="0" borderId="12" xfId="0" applyBorder="1" applyAlignment="1">
      <alignment horizontal="center" vertical="center"/>
    </xf>
    <xf numFmtId="0" fontId="18" fillId="0" borderId="11" xfId="0" applyFont="1" applyBorder="1" applyAlignment="1">
      <alignment vertical="center"/>
    </xf>
    <xf numFmtId="0" fontId="18" fillId="0" borderId="12" xfId="0" applyFont="1" applyBorder="1" applyAlignment="1">
      <alignment vertical="center"/>
    </xf>
    <xf numFmtId="0" fontId="18" fillId="0" borderId="15" xfId="0" applyFont="1" applyBorder="1" applyAlignment="1">
      <alignment vertical="center"/>
    </xf>
    <xf numFmtId="0" fontId="18" fillId="0" borderId="16" xfId="0" applyFont="1" applyBorder="1" applyAlignment="1">
      <alignment vertical="center"/>
    </xf>
    <xf numFmtId="0" fontId="18" fillId="0" borderId="17" xfId="0" applyFont="1" applyBorder="1" applyAlignment="1">
      <alignment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0" borderId="0" xfId="0" applyFont="1" applyAlignment="1">
      <alignment horizontal="center" vertical="center"/>
    </xf>
    <xf numFmtId="0" fontId="16" fillId="33" borderId="18" xfId="0" applyFont="1" applyFill="1" applyBorder="1" applyAlignment="1">
      <alignment horizontal="center" vertical="center"/>
    </xf>
    <xf numFmtId="0" fontId="16" fillId="33" borderId="10" xfId="0" applyFont="1" applyFill="1" applyBorder="1" applyAlignment="1">
      <alignment horizontal="center" vertical="center"/>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6" fillId="33" borderId="19" xfId="0" applyFont="1" applyFill="1" applyBorder="1" applyAlignment="1">
      <alignment horizontal="center" vertical="center"/>
    </xf>
    <xf numFmtId="0" fontId="16" fillId="33" borderId="15" xfId="0" applyFont="1" applyFill="1" applyBorder="1" applyAlignment="1">
      <alignment horizontal="center" vertical="center"/>
    </xf>
    <xf numFmtId="0" fontId="16" fillId="33" borderId="16" xfId="0" applyFont="1" applyFill="1" applyBorder="1" applyAlignment="1">
      <alignment horizontal="center" vertical="center"/>
    </xf>
    <xf numFmtId="0" fontId="16" fillId="33" borderId="17" xfId="0" applyFont="1" applyFill="1" applyBorder="1" applyAlignment="1">
      <alignment horizontal="center"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[Beauty Glow.xlsm]Analyze!Performance Analysis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Influencer Performance Across Follower Tiers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Analyze!$B$56</c:f>
              <c:strCache>
                <c:ptCount val="1"/>
                <c:pt idx="0">
                  <c:v>Total</c:v>
                </c:pt>
              </c:strCache>
            </c:strRef>
          </c:tx>
          <c:spPr>
            <a:solidFill>
              <a:schemeClr val="accent6"/>
            </a:solidFill>
            <a:ln>
              <a:noFill/>
            </a:ln>
            <a:effectLst/>
          </c:spPr>
          <c:invertIfNegative val="0"/>
          <c:cat>
            <c:strRef>
              <c:f>Analyze!$A$57:$A$61</c:f>
              <c:strCache>
                <c:ptCount val="4"/>
                <c:pt idx="0">
                  <c:v>Tier 1</c:v>
                </c:pt>
                <c:pt idx="1">
                  <c:v>Tier 2</c:v>
                </c:pt>
                <c:pt idx="2">
                  <c:v>Tier 3</c:v>
                </c:pt>
                <c:pt idx="3">
                  <c:v>Tier 4</c:v>
                </c:pt>
              </c:strCache>
            </c:strRef>
          </c:cat>
          <c:val>
            <c:numRef>
              <c:f>Analyze!$B$57:$B$61</c:f>
              <c:numCache>
                <c:formatCode>0.00%</c:formatCode>
                <c:ptCount val="4"/>
                <c:pt idx="0">
                  <c:v>8.0699345916564927E-2</c:v>
                </c:pt>
                <c:pt idx="1">
                  <c:v>2.6524897032845034E-2</c:v>
                </c:pt>
                <c:pt idx="2">
                  <c:v>1.6086829095633734E-2</c:v>
                </c:pt>
                <c:pt idx="3">
                  <c:v>5.8634731187487497E-3</c:v>
                </c:pt>
              </c:numCache>
            </c:numRef>
          </c:val>
          <c:extLst>
            <c:ext xmlns:c16="http://schemas.microsoft.com/office/drawing/2014/chart" uri="{C3380CC4-5D6E-409C-BE32-E72D297353CC}">
              <c16:uniqueId val="{00000000-8CCC-46BC-9030-B21BD11A130D}"/>
            </c:ext>
          </c:extLst>
        </c:ser>
        <c:dLbls>
          <c:showLegendKey val="0"/>
          <c:showVal val="0"/>
          <c:showCatName val="0"/>
          <c:showSerName val="0"/>
          <c:showPercent val="0"/>
          <c:showBubbleSize val="0"/>
        </c:dLbls>
        <c:gapWidth val="219"/>
        <c:overlap val="-27"/>
        <c:axId val="2110048175"/>
        <c:axId val="2110049615"/>
      </c:barChart>
      <c:catAx>
        <c:axId val="2110048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49615"/>
        <c:crosses val="autoZero"/>
        <c:auto val="1"/>
        <c:lblAlgn val="ctr"/>
        <c:lblOffset val="100"/>
        <c:noMultiLvlLbl val="0"/>
      </c:catAx>
      <c:valAx>
        <c:axId val="21100496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48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[Beauty Glow.xlsm]Analyze!Market Analysis</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Influencer Categories by Average Engagement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Analyze!$H$3</c:f>
              <c:strCache>
                <c:ptCount val="1"/>
                <c:pt idx="0">
                  <c:v>Total</c:v>
                </c:pt>
              </c:strCache>
            </c:strRef>
          </c:tx>
          <c:spPr>
            <a:solidFill>
              <a:schemeClr val="accent6"/>
            </a:solidFill>
            <a:ln>
              <a:noFill/>
            </a:ln>
            <a:effectLst/>
          </c:spPr>
          <c:invertIfNegative val="0"/>
          <c:cat>
            <c:strRef>
              <c:f>Analyze!$G$4:$G$11</c:f>
              <c:strCache>
                <c:ptCount val="7"/>
                <c:pt idx="0">
                  <c:v>BeautyHumor &amp; Fun &amp; HappinessCinema &amp; Actors/actresses</c:v>
                </c:pt>
                <c:pt idx="1">
                  <c:v>BeautyArt/ArtistsCinema &amp; Actors/actresses</c:v>
                </c:pt>
                <c:pt idx="2">
                  <c:v>BeautyModelingCinema &amp; Actors/actresses</c:v>
                </c:pt>
                <c:pt idx="3">
                  <c:v>BeautyLifestyleFashion</c:v>
                </c:pt>
                <c:pt idx="4">
                  <c:v>Beauty</c:v>
                </c:pt>
                <c:pt idx="5">
                  <c:v>BeautyCinema &amp; Actors/actressesModeling</c:v>
                </c:pt>
                <c:pt idx="6">
                  <c:v>BeautyCinema &amp; Actors/actresses</c:v>
                </c:pt>
              </c:strCache>
            </c:strRef>
          </c:cat>
          <c:val>
            <c:numRef>
              <c:f>Analyze!$H$4:$H$11</c:f>
              <c:numCache>
                <c:formatCode>0.00%</c:formatCode>
                <c:ptCount val="7"/>
                <c:pt idx="0">
                  <c:v>0.15082857142857142</c:v>
                </c:pt>
                <c:pt idx="1">
                  <c:v>9.3635375202712673E-2</c:v>
                </c:pt>
                <c:pt idx="2">
                  <c:v>4.9586776859504134E-2</c:v>
                </c:pt>
                <c:pt idx="3">
                  <c:v>3.7197183098591546E-2</c:v>
                </c:pt>
                <c:pt idx="4">
                  <c:v>2.5321407275078256E-2</c:v>
                </c:pt>
                <c:pt idx="5">
                  <c:v>2.0365217391304348E-2</c:v>
                </c:pt>
                <c:pt idx="6">
                  <c:v>3.3352165725047079E-3</c:v>
                </c:pt>
              </c:numCache>
            </c:numRef>
          </c:val>
          <c:extLst>
            <c:ext xmlns:c16="http://schemas.microsoft.com/office/drawing/2014/chart" uri="{C3380CC4-5D6E-409C-BE32-E72D297353CC}">
              <c16:uniqueId val="{00000000-B508-4BCB-8FAE-1FF1784FB126}"/>
            </c:ext>
          </c:extLst>
        </c:ser>
        <c:dLbls>
          <c:showLegendKey val="0"/>
          <c:showVal val="0"/>
          <c:showCatName val="0"/>
          <c:showSerName val="0"/>
          <c:showPercent val="0"/>
          <c:showBubbleSize val="0"/>
        </c:dLbls>
        <c:gapWidth val="182"/>
        <c:axId val="2110048175"/>
        <c:axId val="2110049615"/>
      </c:barChart>
      <c:catAx>
        <c:axId val="211004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49615"/>
        <c:crosses val="autoZero"/>
        <c:auto val="1"/>
        <c:lblAlgn val="ctr"/>
        <c:lblOffset val="100"/>
        <c:noMultiLvlLbl val="0"/>
      </c:catAx>
      <c:valAx>
        <c:axId val="211004961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048175"/>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4462</xdr:colOff>
      <xdr:row>15</xdr:row>
      <xdr:rowOff>178820</xdr:rowOff>
    </xdr:from>
    <xdr:to>
      <xdr:col>19</xdr:col>
      <xdr:colOff>597647</xdr:colOff>
      <xdr:row>30</xdr:row>
      <xdr:rowOff>177428</xdr:rowOff>
    </xdr:to>
    <xdr:graphicFrame macro="">
      <xdr:nvGraphicFramePr>
        <xdr:cNvPr id="6" name="Chart 5">
          <a:extLst>
            <a:ext uri="{FF2B5EF4-FFF2-40B4-BE49-F238E27FC236}">
              <a16:creationId xmlns:a16="http://schemas.microsoft.com/office/drawing/2014/main" id="{71E4CFBD-7F38-4700-BF00-94DD23E874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20351</xdr:colOff>
      <xdr:row>7</xdr:row>
      <xdr:rowOff>9338</xdr:rowOff>
    </xdr:from>
    <xdr:to>
      <xdr:col>10</xdr:col>
      <xdr:colOff>0</xdr:colOff>
      <xdr:row>15</xdr:row>
      <xdr:rowOff>649</xdr:rowOff>
    </xdr:to>
    <mc:AlternateContent xmlns:mc="http://schemas.openxmlformats.org/markup-compatibility/2006">
      <mc:Choice xmlns:a14="http://schemas.microsoft.com/office/drawing/2010/main" Requires="a14">
        <xdr:graphicFrame macro="">
          <xdr:nvGraphicFramePr>
            <xdr:cNvPr id="7" name="Category">
              <a:extLst>
                <a:ext uri="{FF2B5EF4-FFF2-40B4-BE49-F238E27FC236}">
                  <a16:creationId xmlns:a16="http://schemas.microsoft.com/office/drawing/2014/main" id="{7D70F1AA-833E-90F4-EDAD-575C3D0B56C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626918" y="1355159"/>
              <a:ext cx="5438754" cy="1441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15256</xdr:colOff>
      <xdr:row>16</xdr:row>
      <xdr:rowOff>15627</xdr:rowOff>
    </xdr:from>
    <xdr:to>
      <xdr:col>9</xdr:col>
      <xdr:colOff>609750</xdr:colOff>
      <xdr:row>31</xdr:row>
      <xdr:rowOff>15182</xdr:rowOff>
    </xdr:to>
    <xdr:graphicFrame macro="">
      <xdr:nvGraphicFramePr>
        <xdr:cNvPr id="10" name="Chart 9">
          <a:extLst>
            <a:ext uri="{FF2B5EF4-FFF2-40B4-BE49-F238E27FC236}">
              <a16:creationId xmlns:a16="http://schemas.microsoft.com/office/drawing/2014/main" id="{2F7CD9B0-AD02-4820-B224-44442B3DD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8820</xdr:colOff>
      <xdr:row>7</xdr:row>
      <xdr:rowOff>0</xdr:rowOff>
    </xdr:from>
    <xdr:to>
      <xdr:col>20</xdr:col>
      <xdr:colOff>26459</xdr:colOff>
      <xdr:row>15</xdr:row>
      <xdr:rowOff>9769</xdr:rowOff>
    </xdr:to>
    <mc:AlternateContent xmlns:mc="http://schemas.openxmlformats.org/markup-compatibility/2006">
      <mc:Choice xmlns:a14="http://schemas.microsoft.com/office/drawing/2010/main" Requires="a14">
        <xdr:graphicFrame macro="">
          <xdr:nvGraphicFramePr>
            <xdr:cNvPr id="11" name="Audience Country">
              <a:extLst>
                <a:ext uri="{FF2B5EF4-FFF2-40B4-BE49-F238E27FC236}">
                  <a16:creationId xmlns:a16="http://schemas.microsoft.com/office/drawing/2014/main" id="{248EBDCF-DAFF-46A0-B008-60A4DCB680E4}"/>
                </a:ext>
              </a:extLst>
            </xdr:cNvPr>
            <xdr:cNvGraphicFramePr/>
          </xdr:nvGraphicFramePr>
          <xdr:xfrm>
            <a:off x="0" y="0"/>
            <a:ext cx="0" cy="0"/>
          </xdr:xfrm>
          <a:graphic>
            <a:graphicData uri="http://schemas.microsoft.com/office/drawing/2010/slicer">
              <sle:slicer xmlns:sle="http://schemas.microsoft.com/office/drawing/2010/slicer" name="Audience Country"/>
            </a:graphicData>
          </a:graphic>
        </xdr:graphicFrame>
      </mc:Choice>
      <mc:Fallback>
        <xdr:sp macro="" textlink="">
          <xdr:nvSpPr>
            <xdr:cNvPr id="0" name=""/>
            <xdr:cNvSpPr>
              <a:spLocks noTextEdit="1"/>
            </xdr:cNvSpPr>
          </xdr:nvSpPr>
          <xdr:spPr>
            <a:xfrm>
              <a:off x="6681059" y="1345821"/>
              <a:ext cx="5476743" cy="14598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V" refreshedDate="45864.666890972221" createdVersion="8" refreshedVersion="8" minRefreshableVersion="3" recordCount="960" xr:uid="{CECA6D51-2812-42E2-8127-05FFB9C1EDD3}">
  <cacheSource type="worksheet">
    <worksheetSource ref="A1:K961" sheet="Dataset"/>
  </cacheSource>
  <cacheFields count="11">
    <cacheField name="Name" numFmtId="49">
      <sharedItems containsMixedTypes="1" containsNumber="1" containsInteger="1" minValue="433" maxValue="433"/>
    </cacheField>
    <cacheField name="Rank" numFmtId="0">
      <sharedItems containsSemiMixedTypes="0" containsString="0" containsNumber="1" containsInteger="1" minValue="1" maxValue="1000"/>
    </cacheField>
    <cacheField name="Category" numFmtId="0">
      <sharedItems containsBlank="1" count="155">
        <s v="Sports with a ball"/>
        <s v="Sports with a ballFamily"/>
        <s v="ModelingFashion"/>
        <s v="Music"/>
        <s v="Cinema &amp; Actors/actressesFashion"/>
        <s v="FashionBeauty"/>
        <s v="FashionModelingBeauty"/>
        <s v="MusicLifestyle"/>
        <s v="Cinema &amp; Actors/actresses"/>
        <s v="Lifestyle"/>
        <s v="MusicFashion"/>
        <s v="Clothing &amp; OutfitsLifestyle"/>
        <s v="MusicBeauty"/>
        <s v="Art/ArtistsCinema &amp; Actors/actressesMusic"/>
        <s v="Photography"/>
        <s v="ModelingLifestyle"/>
        <s v="MusicCinema &amp; Actors/actresses"/>
        <s v="Cinema &amp; Actors/actressesFitness &amp; Gym"/>
        <s v="LifestyleFashionClothing &amp; Outfits"/>
        <s v="Beauty"/>
        <s v="Art/Artists"/>
        <s v="Finance &amp; EconomicsBusiness &amp; Careers"/>
        <s v="Cinema &amp; Actors/actressesMusic"/>
        <s v="LifestyleShows"/>
        <s v="Cinema &amp; Actors/actressesModelingLifestyle"/>
        <s v="ModelingLifestyleBeauty"/>
        <s v="BeautyArt/ArtistsCinema &amp; Actors/actresses"/>
        <s v="Cinema &amp; Actors/actressesLifestyle"/>
        <s v="LifestyleMusic"/>
        <s v="Modeling"/>
        <s v="LifestyleModeling"/>
        <s v="ModelingFamily"/>
        <s v="SciencePhotography"/>
        <s v="MusicModeling"/>
        <s v="Cinema &amp; Actors/actressesModeling"/>
        <s v="Fitness &amp; GymShopping &amp; RetailClothing &amp; Outfits"/>
        <s v="BeautyModelingCinema &amp; Actors/actresses"/>
        <s v="Fitness &amp; GymLifestyle"/>
        <s v="Cinema &amp; Actors/actressesShows"/>
        <s v="ShowsHumor &amp; Fun &amp; Happiness"/>
        <s v="Computers &amp; Gadgets"/>
        <s v="Cinema &amp; Actors/actressesArt/Artists"/>
        <s v="Humor &amp; Fun &amp; HappinessClothing &amp; Outfits"/>
        <s v="Nature &amp; landscapesSciencePhotography"/>
        <s v="Cinema &amp; Actors/actressesMusicShows"/>
        <s v="ShowsLifestyle"/>
        <s v="LifestyleCinema &amp; Actors/actresses"/>
        <s v="LifestyleSports with a ball"/>
        <s v="Racing Sports"/>
        <s v="Sports with a ballLifestyle"/>
        <s v="ShowsCinema &amp; Actors/actresses"/>
        <s v="FamilyMusic"/>
        <s v="Food &amp; Cooking"/>
        <s v="MusicArt/ArtistsCinema &amp; Actors/actresses"/>
        <s v="FamilySports with a ball"/>
        <s v="LifestyleArt/Artists"/>
        <s v="Clothing &amp; OutfitsMusic"/>
        <s v="ModelingCinema &amp; Actors/actresses"/>
        <s v="ShowsAdult content"/>
        <s v="Computers &amp; GadgetsMachinery &amp; Technologies"/>
        <s v="FamilyLifestyle"/>
        <m/>
        <s v="Shows"/>
        <s v="PhotographyFashion"/>
        <s v="BeautyCinema &amp; Actors/actresses"/>
        <s v="Humor &amp; Fun &amp; Happiness"/>
        <s v="LifestyleCinema &amp; Actors/actressesMusic"/>
        <s v="BeautyFamilyLifestyle"/>
        <s v="ShowsBeautyFamily"/>
        <s v="Computers &amp; GadgetsBusiness &amp; Careers"/>
        <s v="MusicCinema &amp; Actors/actressesFashion"/>
        <s v="MusicCinema &amp; Actors/actressesModeling"/>
        <s v="Art/ArtistsBeauty"/>
        <s v="BeautyCinema &amp; Actors/actressesModeling"/>
        <s v="Family"/>
        <s v="Management &amp; MarketingMusic"/>
        <s v="Cinema &amp; Actors/actressesModelingClothing &amp; Outfits"/>
        <s v="MusicArt/Artists"/>
        <s v="Cinema &amp; Actors/actressesComics &amp; sketchesShows"/>
        <s v="MusicFamily"/>
        <s v="MusicClothing &amp; Outfits"/>
        <s v="FashionCinema &amp; Actors/actresses"/>
        <s v="Finance &amp; EconomicsBusiness &amp; CareersFamily"/>
        <s v="Art/ArtistsShows"/>
        <s v="Fitness &amp; Gym"/>
        <s v="Cinema &amp; Actors/actressesHumor &amp; Fun &amp; Happiness"/>
        <s v="ModelingLifestyleFashion"/>
        <s v="Sports with a ballShows"/>
        <s v="Adult content"/>
        <s v="LifestyleMusicCinema &amp; Actors/actresses"/>
        <s v="Cinema &amp; Actors/actressesComics &amp; sketches"/>
        <s v="LifestyleBeauty"/>
        <s v="FashionModeling"/>
        <s v="Cars &amp; MotorbikesLuxury"/>
        <s v="Business &amp; Careers"/>
        <s v="LifestyleFamily"/>
        <s v="MusicShows"/>
        <s v="Sports with a ballClothing &amp; Outfits"/>
        <s v="BeautyLifestyle"/>
        <s v="Literature &amp; JournalismTrainers &amp; Coaches"/>
        <s v="Literature &amp; JournalismShows"/>
        <s v="MusicKids &amp; Toys"/>
        <s v="Fashion"/>
        <s v="FamilyLifestyleShows"/>
        <s v="Finance &amp; Economics"/>
        <s v="ShowsCinema &amp; Actors/actressesLifestyle"/>
        <s v="Cinema &amp; Actors/actressesFamily"/>
        <s v="BeautyCinema &amp; Actors/actressesFashion"/>
        <s v="Literature &amp; JournalismBusiness &amp; CareersFinance &amp; Economics"/>
        <s v="PhotographyTravel"/>
        <s v="ModelingFashionLifestyle"/>
        <s v="EducationHumor &amp; Fun &amp; Happiness"/>
        <s v="MusicModelingArt/Artists"/>
        <s v="FashionLifestyleBeauty"/>
        <s v="LifestylePhotography"/>
        <s v="FamilyCinema &amp; Actors/actresses"/>
        <s v="Art/ArtistsFashionModeling"/>
        <s v="Art/ArtistsFashionMusic"/>
        <s v="Humor &amp; Fun &amp; HappinessShowsCinema &amp; Actors/actresses"/>
        <s v="LifestyleShowsComputers &amp; Gadgets"/>
        <s v="ShowsFamily"/>
        <s v="LifestyleMusicSports with a ball"/>
        <s v="MusicCinema &amp; Actors/actressesLifestyle"/>
        <s v="FamilyShows"/>
        <s v="Sports with a ballLifestyleKids &amp; Toys"/>
        <s v="ShowsMusic"/>
        <s v="ShowsCinema &amp; Actors/actressesModeling"/>
        <s v="ModelingMusic"/>
        <s v="ScienceMachinery &amp; Technologies"/>
        <s v="Sports with a ballLiterature &amp; Journalism"/>
        <s v="Machinery &amp; TechnologiesComputers &amp; Gadgets"/>
        <s v="LifestyleCinema &amp; Actors/actressesModeling"/>
        <s v="LifestyleModelingFashion"/>
        <s v="Cinema &amp; Actors/actressesModelingFashion"/>
        <s v="Cinema &amp; Actors/actressesHumor &amp; Fun &amp; HappinessModeling"/>
        <s v="BeautyModelingAdult content"/>
        <s v="LifestyleModelingCinema &amp; Actors/actresses"/>
        <s v="Art/ArtistsCinema &amp; Actors/actresses"/>
        <s v="Business &amp; CareersFinance &amp; Economics"/>
        <s v="FamilyLifestyleCinema &amp; Actors/actresses"/>
        <s v="Art/ArtistsCinema &amp; Actors/actressesShows"/>
        <s v="Animals"/>
        <s v="BeautyLifestyleFashion"/>
        <s v="ModelingBeauty"/>
        <s v="LifestyleFashion"/>
        <s v="ShowsModeling"/>
        <s v="LifestyleMusicArt/Artists"/>
        <s v="Humor &amp; Fun &amp; HappinessCinema &amp; Actors/actresses"/>
        <s v="Computers &amp; GadgetsPhotography"/>
        <s v="BeautyHumor &amp; Fun &amp; HappinessCinema &amp; Actors/actresses"/>
        <s v="Literature &amp; JournalismCinema &amp; Actors/actresses"/>
        <s v="Business &amp; CareersFinance"/>
        <s v="Literature &amp; JournalismFashion"/>
        <s v="Humor &amp; Fun &amp; HappinessLifestyleBeauty"/>
        <s v="TravelCinema &amp; Actors/actresses"/>
      </sharedItems>
    </cacheField>
    <cacheField name="Followers" numFmtId="0">
      <sharedItems/>
    </cacheField>
    <cacheField name="Audience Country" numFmtId="0">
      <sharedItems containsBlank="1" count="34">
        <s v="India"/>
        <s v="Argentina"/>
        <s v="United States"/>
        <s v="Brazil"/>
        <s v="Indonesia"/>
        <s v="South Korea"/>
        <s v="Mexico"/>
        <s v="Russia"/>
        <s v="France"/>
        <s v="Italy"/>
        <s v="Egypt"/>
        <s v="Turkey"/>
        <s v="Spain"/>
        <s v="China"/>
        <s v="Iran"/>
        <s v="Colombia"/>
        <s v="Philippines"/>
        <m/>
        <s v="Poland"/>
        <s v="Thailand"/>
        <s v="United Kingdom"/>
        <s v="Iraq"/>
        <s v="Germany"/>
        <s v="Nigeria"/>
        <s v="Morocco"/>
        <s v="Syria"/>
        <s v="United Arab Emirates"/>
        <s v="Japan"/>
        <s v="Algeria"/>
        <s v="Senegal"/>
        <s v="Chile"/>
        <s v="Kazakhstan"/>
        <s v="Albania"/>
        <s v="Pakistan"/>
      </sharedItems>
    </cacheField>
    <cacheField name="Authentic Engagement" numFmtId="0">
      <sharedItems containsMixedTypes="1" containsNumber="1" containsInteger="1" minValue="0" maxValue="0"/>
    </cacheField>
    <cacheField name="Engagement Avg." numFmtId="0">
      <sharedItems/>
    </cacheField>
    <cacheField name="Follower_Num" numFmtId="0">
      <sharedItems containsString="0" containsBlank="1" containsNumber="1" minValue="1600000" maxValue="528400000" count="413">
        <n v="462900000"/>
        <n v="347200000"/>
        <n v="247600000"/>
        <n v="321400000"/>
        <n v="147000000"/>
        <n v="323600000"/>
        <n v="218200000"/>
        <n v="357000000"/>
        <n v="334900000"/>
        <n v="46300000"/>
        <n v="79900000"/>
        <n v="68200000"/>
        <n v="206900000"/>
        <n v="67600000"/>
        <n v="38100000"/>
        <n v="36500000"/>
        <n v="37400000"/>
        <n v="267399999.99999997"/>
        <n v="260399999.99999997"/>
        <n v="62100000"/>
        <n v="104300000"/>
        <n v="176200000"/>
        <n v="78600000"/>
        <n v="245900000"/>
        <n v="61000000"/>
        <n v="41400000"/>
        <n v="197800000"/>
        <n v="528400000"/>
        <n v="43000000"/>
        <n v="66000000"/>
        <n v="137300000"/>
        <n v="189000000"/>
        <n v="54500000"/>
        <n v="46200000"/>
        <n v="36000000"/>
        <n v="53200000"/>
        <n v="74900000"/>
        <n v="217500000"/>
        <n v="127400000"/>
        <n v="327300000"/>
        <n v="50600000"/>
        <n v="39000000"/>
        <n v="116600000"/>
        <n v="65599999.999999993"/>
        <n v="178200000"/>
        <n v="29200000"/>
        <n v="45800000"/>
        <n v="29400000"/>
        <n v="27000000"/>
        <n v="30100000"/>
        <n v="69400000"/>
        <n v="72400000"/>
        <n v="26600000"/>
        <n v="67200000"/>
        <n v="27100000"/>
        <n v="59300000"/>
        <n v="85100000"/>
        <n v="48100000"/>
        <n v="64400000.000000007"/>
        <n v="24700000"/>
        <n v="32900000"/>
        <n v="48900000"/>
        <n v="24200000"/>
        <n v="55100000"/>
        <n v="35200000"/>
        <n v="49000000"/>
        <n v="54600000"/>
        <n v="51900000"/>
        <n v="22200000"/>
        <n v="23000000"/>
        <n v="28500000"/>
        <n v="30200000"/>
        <n v="47700000"/>
        <n v="83800000"/>
        <n v="23300000"/>
        <n v="121800000"/>
        <n v="21600000"/>
        <n v="29000000"/>
        <n v="115100000"/>
        <n v="110000000"/>
        <n v="30000000"/>
        <n v="136300000"/>
        <n v="32299999.999999996"/>
        <n v="52100000"/>
        <n v="14400000"/>
        <n v="28900000"/>
        <n v="67800000"/>
        <n v="34500000"/>
        <n v="45900000"/>
        <n v="55900000"/>
        <n v="53900000"/>
        <n v="20000000"/>
        <n v="21900000"/>
        <n v="9600000"/>
        <n v="17000000"/>
        <n v="26100000"/>
        <n v="80200000"/>
        <n v="24100000"/>
        <n v="40700000"/>
        <n v="14300000"/>
        <n v="40400000"/>
        <n v="227600000"/>
        <n v="24600000"/>
        <n v="25400000"/>
        <n v="27800000"/>
        <n v="43300000"/>
        <n v="167200000"/>
        <n v="20400000"/>
        <n v="81700000"/>
        <n v="42000000"/>
        <n v="62600000"/>
        <n v="35400000"/>
        <n v="12100000"/>
        <n v="53100000"/>
        <n v="49700000"/>
        <n v="23400000"/>
        <n v="19000000"/>
        <n v="20900000"/>
        <n v="75600000"/>
        <n v="43500000"/>
        <n v="12600000"/>
        <n v="73400000"/>
        <n v="21300000"/>
        <n v="29500000"/>
        <n v="16800000"/>
        <n v="41600000"/>
        <n v="62700000"/>
        <n v="53000000"/>
        <n v="232200000"/>
        <n v="31800000"/>
        <n v="62200000"/>
        <n v="47800000"/>
        <n v="41200000"/>
        <n v="27400000"/>
        <n v="57200000"/>
        <n v="23600000"/>
        <n v="30700000"/>
        <n v="16000000"/>
        <n v="29100000"/>
        <n v="40300000"/>
        <n v="35300000"/>
        <n v="24400000"/>
        <n v="13600000"/>
        <n v="17100000"/>
        <n v="20700000"/>
        <n v="44100000"/>
        <n v="95700000"/>
        <n v="50800000"/>
        <n v="36200000"/>
        <n v="14100000"/>
        <n v="10800000"/>
        <n v="20600000"/>
        <n v="49800000"/>
        <n v="9800000"/>
        <n v="21200000"/>
        <n v="15900000"/>
        <n v="25800000"/>
        <n v="18900000"/>
        <n v="24500000"/>
        <n v="37000000"/>
        <n v="8500000"/>
        <n v="44500000"/>
        <n v="44700000"/>
        <n v="20500000"/>
        <n v="65500000"/>
        <n v="13000000"/>
        <n v="19100000"/>
        <n v="24300000"/>
        <n v="10700000"/>
        <n v="10300000"/>
        <n v="54700000"/>
        <n v="52300000"/>
        <n v="35900000"/>
        <n v="21400000"/>
        <n v="13500000"/>
        <n v="25700000"/>
        <n v="14600000"/>
        <n v="14000000"/>
        <n v="16600000.000000002"/>
        <n v="28800000"/>
        <n v="6900000"/>
        <n v="33100000"/>
        <m/>
        <n v="21700000"/>
        <n v="12300000"/>
        <n v="62900000"/>
        <n v="16100000.000000002"/>
        <n v="25500000"/>
        <n v="18500000"/>
        <n v="70400000"/>
        <n v="10900000"/>
        <n v="74500000"/>
        <n v="17700000"/>
        <n v="19800000"/>
        <n v="9000000"/>
        <n v="15500000"/>
        <n v="31300000"/>
        <n v="22100000"/>
        <n v="23100000"/>
        <n v="15100000"/>
        <n v="27200000"/>
        <n v="10000000"/>
        <n v="17900000"/>
        <n v="38000000"/>
        <n v="23500000"/>
        <n v="61200000"/>
        <n v="27900000"/>
        <n v="17400000"/>
        <n v="13800000"/>
        <n v="9400000"/>
        <n v="18300000"/>
        <n v="12900000"/>
        <n v="7600000"/>
        <n v="8700000"/>
        <n v="15200000"/>
        <n v="10200000"/>
        <n v="11100000"/>
        <n v="22300000"/>
        <n v="15000000"/>
        <n v="15300000"/>
        <n v="67400000"/>
        <n v="9300000"/>
        <n v="32799999.999999996"/>
        <n v="14900000"/>
        <n v="18700000"/>
        <n v="13700000"/>
        <n v="44000000"/>
        <n v="27300000"/>
        <n v="35100000"/>
        <n v="14200000"/>
        <n v="43200000"/>
        <n v="13100000"/>
        <n v="8000000"/>
        <n v="12500000"/>
        <n v="16500000"/>
        <n v="8199999.9999999991"/>
        <n v="33800000"/>
        <n v="14700000"/>
        <n v="22600000"/>
        <n v="26800000"/>
        <n v="58600000"/>
        <n v="8400000"/>
        <n v="8300000.0000000009"/>
        <n v="5900000"/>
        <n v="6500000"/>
        <n v="12000000"/>
        <n v="7300000"/>
        <n v="10500000"/>
        <n v="12800000"/>
        <n v="16900000"/>
        <n v="18400000"/>
        <n v="17300000"/>
        <n v="14800000"/>
        <n v="22900000"/>
        <n v="22400000"/>
        <n v="40100000"/>
        <n v="9900000"/>
        <n v="11600000"/>
        <n v="18000000"/>
        <n v="65400000.000000007"/>
        <n v="11000000"/>
        <n v="17200000"/>
        <n v="52800000"/>
        <n v="59000000"/>
        <n v="20200000"/>
        <n v="10100000"/>
        <n v="25000000"/>
        <n v="5800000"/>
        <n v="32000000"/>
        <n v="13400000"/>
        <n v="7800000"/>
        <n v="50300000"/>
        <n v="23900000"/>
        <n v="19500000"/>
        <n v="12200000"/>
        <n v="19900000"/>
        <n v="38900000"/>
        <n v="19400000"/>
        <n v="148800000"/>
        <n v="26500000"/>
        <n v="43100000"/>
        <n v="27700000"/>
        <n v="27500000"/>
        <n v="8100000"/>
        <n v="4900000"/>
        <n v="18100000"/>
        <n v="13900000"/>
        <n v="58200000"/>
        <n v="5100000"/>
        <n v="7900000"/>
        <n v="13200000"/>
        <n v="6200000"/>
        <n v="6300000"/>
        <n v="13300000"/>
        <n v="34800000"/>
        <n v="33700000"/>
        <n v="16200000"/>
        <n v="6400000"/>
        <n v="19600000"/>
        <n v="6700000"/>
        <n v="5400000"/>
        <n v="16399999.999999998"/>
        <n v="46400000"/>
        <n v="6000000"/>
        <n v="39500000"/>
        <n v="46100000"/>
        <n v="19200000"/>
        <n v="5300000"/>
        <n v="17500000"/>
        <n v="29800000"/>
        <n v="36400000"/>
        <n v="9500000"/>
        <n v="7100000"/>
        <n v="5600000"/>
        <n v="7400000"/>
        <n v="11800000"/>
        <n v="22700000"/>
        <n v="11500000"/>
        <n v="33500000"/>
        <n v="43800000"/>
        <n v="9700000"/>
        <n v="43400000"/>
        <n v="45200000"/>
        <n v="30500000"/>
        <n v="28400000"/>
        <n v="11400000"/>
        <n v="11700000"/>
        <n v="8600000"/>
        <n v="33299999.999999996"/>
        <n v="29300000"/>
        <n v="24900000"/>
        <n v="8800000"/>
        <n v="3700000"/>
        <n v="47400000"/>
        <n v="46900000"/>
        <n v="25900000"/>
        <n v="20100000"/>
        <n v="9200000"/>
        <n v="53600000"/>
        <n v="54200000"/>
        <n v="21100000"/>
        <n v="5200000"/>
        <n v="6100000"/>
        <n v="26700000"/>
        <n v="7000000"/>
        <n v="11300000"/>
        <n v="3900000"/>
        <n v="10400000"/>
        <n v="10600000"/>
        <n v="57900000"/>
        <n v="4300000"/>
        <n v="34200000"/>
        <n v="54000000"/>
        <n v="14500000"/>
        <n v="24000000"/>
        <n v="74600000"/>
        <n v="5000000"/>
        <n v="8900000"/>
        <n v="18600000"/>
        <n v="9100000"/>
        <n v="4400000"/>
        <n v="22500000"/>
        <n v="4200000"/>
        <n v="16700000"/>
        <n v="4500000"/>
        <n v="15400000"/>
        <n v="3800000"/>
        <n v="3000000"/>
        <n v="21500000"/>
        <n v="4800000"/>
        <n v="12400000"/>
        <n v="69000000"/>
        <n v="2900000"/>
        <n v="11900000"/>
        <n v="15600000"/>
        <n v="7700000"/>
        <n v="29700000"/>
        <n v="39700000"/>
        <n v="1600000"/>
        <n v="31500000"/>
        <n v="30400000"/>
        <n v="7500000"/>
        <n v="4600000"/>
        <n v="6800000"/>
        <n v="39600000"/>
        <n v="3500000"/>
        <n v="18800000"/>
        <n v="4099999.9999999995"/>
        <n v="123700000"/>
        <n v="5500000"/>
        <n v="3200000"/>
        <n v="25300000"/>
        <n v="19300000"/>
        <n v="12700000"/>
        <n v="4000000"/>
        <n v="22000000"/>
        <n v="15700000"/>
        <n v="3600000"/>
        <n v="21000000"/>
        <n v="16300000"/>
        <n v="38400000"/>
        <n v="7200000"/>
        <n v="6600000"/>
        <n v="26000000"/>
        <n v="17800000"/>
        <n v="11200000"/>
        <n v="19700000"/>
        <n v="4700000"/>
        <n v="2600000"/>
        <n v="15800000"/>
        <n v="3100000"/>
        <n v="24800000"/>
        <n v="3400000"/>
      </sharedItems>
    </cacheField>
    <cacheField name="Auth_Eng_Num" numFmtId="0">
      <sharedItems containsString="0" containsBlank="1" containsNumber="1" minValue="20600" maxValue="13300000"/>
    </cacheField>
    <cacheField name="Eng_Avg_Num" numFmtId="0">
      <sharedItems containsString="0" containsBlank="1" containsNumber="1" minValue="21100" maxValue="13300000"/>
    </cacheField>
    <cacheField name="Engagement_Rate" numFmtId="0">
      <sharedItems containsString="0" containsBlank="1" containsNumber="1" minValue="1.6653193209377527E-4" maxValue="0.57493749999999999"/>
    </cacheField>
  </cacheFields>
  <extLst>
    <ext xmlns:x14="http://schemas.microsoft.com/office/spreadsheetml/2009/9/main" uri="{725AE2AE-9491-48be-B2B4-4EB974FC3084}">
      <x14:pivotCacheDefinition pivotCacheId="108876420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V" refreshedDate="45864.742176967593" createdVersion="8" refreshedVersion="8" minRefreshableVersion="3" recordCount="960" xr:uid="{D9865D87-49FB-40B7-B273-74F40E4D096D}">
  <cacheSource type="worksheet">
    <worksheetSource ref="A1:L961" sheet="Dataset"/>
  </cacheSource>
  <cacheFields count="12">
    <cacheField name="Name" numFmtId="49">
      <sharedItems containsMixedTypes="1" containsNumber="1" containsInteger="1" minValue="433" maxValue="433" count="960">
        <s v="cristiano"/>
        <s v="leomessi"/>
        <s v="kendalljenner"/>
        <s v="arianagrande"/>
        <s v="zendaya"/>
        <s v="kimkardashian"/>
        <s v="taylorswift"/>
        <s v="kyliejenner"/>
        <s v="selenagomez"/>
        <s v="thv"/>
        <s v="lalalalisa_m"/>
        <s v="jennierubyjane"/>
        <s v="virat.kohli"/>
        <s v="tomholland2013"/>
        <s v="j.m"/>
        <s v="agustd"/>
        <s v="jin"/>
        <s v="beyonce"/>
        <s v="khloekardashian"/>
        <s v="sooyaaa__"/>
        <s v="billieeilish"/>
        <s v="neymarjr"/>
        <s v="khaby00"/>
        <s v="justinbieber"/>
        <s v="roses_are_rosie"/>
        <s v="uarmyhope"/>
        <s v="badbunnypr"/>
        <s v="nickiminaj"/>
        <s v="instagram"/>
        <s v="jungkook.97"/>
        <s v="bts.bighitofficial"/>
        <s v="iamcardib"/>
        <s v="kourtneykardash"/>
        <s v="karolg"/>
        <s v="zayn"/>
        <s v="rkive"/>
        <s v="milliebobbybrown"/>
        <s v="gigihadid"/>
        <s v="jlo"/>
        <s v="kingjames"/>
        <s v="therock"/>
        <s v="adele"/>
        <s v="georginagio"/>
        <s v="champagnepapi"/>
        <s v="katrinakaif"/>
        <s v="harrystyles"/>
        <s v="mileycyrus"/>
        <s v="eunwo.o_c"/>
        <s v="travisscott"/>
        <s v="ester_exposito"/>
        <s v="robertdowneyjr"/>
        <s v="dlwlrma"/>
        <s v="actorleeminho"/>
        <s v="narendramodi"/>
        <s v="shawnmendes"/>
        <s v="k.mbappe"/>
        <s v="johnnydepp"/>
        <s v="aliaabhatt"/>
        <s v="oliviarodrigo"/>
        <s v="anushkasharma"/>
        <s v="dualipa"/>
        <s v="dovecameron"/>
        <s v="camila_cabello"/>
        <s v="noahschnapp"/>
        <s v="danbilzerian"/>
        <s v="charlidamelio"/>
        <s v="dojacat"/>
        <s v="chrishemsworth"/>
        <s v="kimberly.loaiza"/>
        <s v="lelepons"/>
        <s v="iamzlatanibrahimovic"/>
        <s v="mosalah"/>
        <s v="bn_sj2013"/>
        <s v="jongsuk0206"/>
        <s v="handemiyy"/>
        <s v="niallhoran"/>
        <s v="paulodybala"/>
        <s v="gal_gadot"/>
        <s v="oohsehun"/>
        <s v="realmadrid"/>
        <s v="sadiesink_"/>
        <s v="lilireinhart"/>
        <s v="chrisbrownofficial"/>
        <s v="fcbarcelona"/>
        <s v="iamsrk"/>
        <s v="ddlovato"/>
        <s v="rashmika_mandanna"/>
        <s v="dishapatani"/>
        <s v="songkang_b"/>
        <s v="bellahadid"/>
        <s v="jacksonwang852g7"/>
        <s v="deepikapadukone"/>
        <s v="dannapaola"/>
        <s v="blackpinkofficial"/>
        <s v="haileybieber"/>
        <s v="karimbenzema"/>
        <s v="zacefron"/>
        <s v="antonelaroccuzzo"/>
        <s v="realstraykids"/>
        <s v="nasa"/>
        <s v="yawnzzn"/>
        <s v="chrisevans"/>
        <s v="twicetagram"/>
        <s v="priyankachopra"/>
        <s v="ursulolita"/>
        <s v="jenniferaniston"/>
        <s v="hi_high_hiy"/>
        <s v="addisonraee"/>
        <s v="nike"/>
        <s v="finnwolfhardofficial"/>
        <s v="samantharuthprabhuoffl"/>
        <s v="madelame"/>
        <s v="miakhalifa"/>
        <s v="jannatzubair29"/>
        <s v="katyperry"/>
        <s v="meganfox"/>
        <s v="vindiesel"/>
        <s v="kapilsharma"/>
        <s v="camimendes"/>
        <s v="akshaykumar"/>
        <s v="tyga"/>
        <s v="_jeongjaehyun"/>
        <s v="ladygaga"/>
        <s v="kritisanon"/>
        <s v="hoooooyeony"/>
        <s v="mrbeast"/>
        <s v="rosalia.vt"/>
        <s v="shakira"/>
        <s v="pewdiepie"/>
        <s v="hrithikroshan"/>
        <s v="madelyncline"/>
        <s v="hazardeden_10"/>
        <s v="shraddhakapoor"/>
        <s v="vinijr"/>
        <s v="emrata"/>
        <s v="lanarhoades"/>
        <s v="britneyspears"/>
        <s v="maluma"/>
        <s v="beingsalmankhan"/>
        <s v="luisitocomunica"/>
        <s v="natgeo"/>
        <s v="madisonbeer"/>
        <s v="jacquelinef143"/>
        <s v="garethbale11"/>
        <s v="norafatehi"/>
        <s v="sabrinacarpenter"/>
        <s v="marcelotwelve"/>
        <s v="rohittt_09_"/>
        <s v="jasonstatham"/>
        <s v="thedeverakonda"/>
        <s v="theestallion"/>
        <s v="theweeknd"/>
        <s v="shahidkapoor"/>
        <s v="elrubiuswtf"/>
        <s v="annehathaway"/>
        <s v="sydney_sweeney"/>
        <s v="erling.haaland"/>
        <s v="lewishamilton"/>
        <s v="hegdepooja"/>
        <s v="luissuarez9"/>
        <s v="championsleague"/>
        <n v="433"/>
        <s v="eminem"/>
        <s v="rohitsharma45"/>
        <s v="zkdlin"/>
        <s v="sidhu_moosewala"/>
        <s v="jichangwook"/>
        <s v="jamesrodriguez10"/>
        <s v="na.jaemin0813"/>
        <s v="greeicy"/>
        <s v="emmachamberlain"/>
        <s v="evaluna"/>
        <s v="henrycavill"/>
        <s v="carlinhosmaiaof"/>
        <s v="domelipa"/>
        <s v="saraalikhan95"/>
        <s v="m10_official"/>
        <s v="cznburak"/>
        <s v="imhyoseop"/>
        <s v="vancityreynolds"/>
        <s v="stephencurry30"/>
        <s v="strangerthingstv"/>
        <s v="justintimberlake"/>
        <s v="feliciathegoat"/>
        <s v="haileesteinfeld"/>
        <s v="lukamodric10"/>
        <s v="renebaebae"/>
        <s v="do0_nct"/>
        <s v="paulpogba"/>
        <s v="heybiblee"/>
        <s v="sergioramos"/>
        <s v="nattinatasha"/>
        <s v="awez_darbar"/>
        <s v="bizarrap"/>
        <s v="nina"/>
        <s v="leedongwook_official"/>
        <s v="_imyour_joy"/>
        <s v="bambam1a"/>
        <s v="anuel"/>
        <s v="momo"/>
        <s v="zidane"/>
        <s v="marshmello"/>
        <s v="hardikpandya93"/>
        <s v="sza"/>
        <s v="zachking"/>
        <s v="anitta"/>
        <s v="liluzivert"/>
        <s v="kartikaaryan"/>
        <s v="louist91"/>
        <s v="nehakakkar"/>
        <s v="iamhalsey"/>
        <s v="thenameisyash"/>
        <s v="davidbeckham"/>
        <s v="janhvikapoor"/>
        <s v="lilbaby"/>
        <s v="onyourm__ark"/>
        <s v="bbrightvc"/>
        <s v="riaricis1795"/>
        <s v="hannahstocking"/>
        <s v="iansomerhalder"/>
        <s v="somsomi0309"/>
        <s v="mirella"/>
        <s v="iamferv"/>
        <s v="skuukzky"/>
        <s v="anushkasen0408"/>
        <s v="kunaguero"/>
        <s v="psg"/>
        <s v="mr_faisu_07"/>
        <s v="larasilva"/>
        <s v="paulolondra"/>
        <s v="winmetawin"/>
        <s v="taeoxo_nct"/>
        <s v="tinistoessel"/>
        <s v="klrahul"/>
        <s v="hero_ft"/>
        <s v="johnnyjsuh"/>
        <s v="carryminati"/>
        <s v="jessicah_o"/>
        <s v="samoylovaoxana"/>
        <s v="colesprouse"/>
        <s v="tigerjackieshroff"/>
        <s v="m.by__sana"/>
        <s v="holyhaein"/>
        <s v="manurios"/>
        <s v="mina_sr_my"/>
        <s v="juandediospantoja"/>
        <s v="rauwalejandro"/>
        <s v="luvadepedreiro"/>
        <s v="ronaldinho"/>
        <s v="avneetkaur_13"/>
        <s v="xeesoxee"/>
        <s v="daddyyankee"/>
        <s v="iambeckyg"/>
        <s v="xxxibgdrgn"/>
        <s v="ileana_official"/>
        <s v="taeyeon_ss"/>
        <s v="sunnyleone"/>
        <s v="soohyun_k216"/>
        <s v="keniaos"/>
        <s v="maisa"/>
        <s v="vickykaushal09"/>
        <s v="riyaz.14"/>
        <s v="sachintendulkar"/>
        <s v="layzhang"/>
        <s v="varundvn"/>
        <s v="trippieredd"/>
        <s v="clean_0828"/>
        <s v="nayeonyny"/>
        <s v="angelrai07"/>
        <s v="chaeyo.0"/>
        <s v="liampayne"/>
        <s v="lomon991111"/>
        <s v="hi_sseulgi"/>
        <s v="charlieputh"/>
        <s v="ashishchanchlani"/>
        <s v="iammichelemorroneofficial"/>
        <s v="_zyozyo"/>
        <s v="anguscloud"/>
        <s v="shaymitchell"/>
        <s v="kiaraaliaadvani"/>
        <s v="krisjenner"/>
        <s v="perrieedwards"/>
        <s v="yaocabrera"/>
        <s v="tenlee_1001"/>
        <s v="min9yu_k"/>
        <s v="alexandradaddario"/>
        <s v="alidaei"/>
        <s v="gatenm123"/>
        <s v="_rl9"/>
        <s v="bighit_ent"/>
        <s v="kimjuncotton"/>
        <s v="whinderssonnunes"/>
        <s v="jy_piece"/>
        <s v="imsebastianstan"/>
        <s v="therealcalebmclaughlin"/>
        <s v="nct"/>
        <s v="yuu_taa_1026"/>
        <s v="m_kayoung"/>
        <s v="yellow_3to3"/>
        <s v="_mariahwasa"/>
        <s v="rudeth"/>
        <s v="mont.pantoja"/>
        <s v="mariaalice"/>
        <s v="enhypen"/>
        <s v="realbarbarapalvin"/>
        <s v="marktuan"/>
        <s v="maudyayunda"/>
        <s v="bretmanrock"/>
        <s v="elrodrigocontreras"/>
        <s v="nct127"/>
        <s v="wwiinn_7"/>
        <s v="lizasoberano"/>
        <s v="bellapoarch"/>
        <s v="bhuvan.bam22"/>
        <s v="txt_bighit"/>
        <s v="dahhyunnee"/>
        <s v="jamescharles"/>
        <s v="taehyung.bighitentertainment"/>
        <s v="postmalone"/>
        <s v="ssinz7"/>
        <s v="o.dembele7"/>
        <s v="ranveersingh"/>
        <s v="jinyoung_0922jy"/>
        <s v="luisasonza"/>
        <s v="bellathorne"/>
        <s v="ksi"/>
        <s v="kevindebruyne"/>
        <s v="marvel"/>
        <s v="arigameplays"/>
        <s v="fedez"/>
        <s v="prattprattpratt"/>
        <s v="itzy.all.in.us"/>
        <s v="lestykejora"/>
        <s v="jbalvin"/>
        <s v="kehlani"/>
        <s v="manchesterunited"/>
        <s v="peytonlist"/>
        <s v="wi__wi__wi"/>
        <s v="dixiedamelio"/>
        <s v="vinniehacker"/>
        <s v="madhuridixitnene"/>
        <s v="mathildtantot"/>
        <s v="keerthysureshofficial"/>
        <s v="ibaillanos"/>
        <s v="easymoneysniper"/>
        <s v="michelleobama"/>
        <s v="ross_lynch"/>
        <s v="attahalilintar"/>
        <s v="lizgillz"/>
        <s v="cbum"/>
        <s v="hassan_reyvandi"/>
        <s v="nicki.nicole"/>
        <s v="demirose"/>
        <s v="natashawilona12"/>
        <s v="lexibrookerivera"/>
        <s v="thebursin"/>
        <s v="imouniroy"/>
        <s v="yasmine_sabri"/>
        <s v="kevinhart4real"/>
        <s v="sidmalhotra"/>
        <s v="sommerray"/>
        <s v="brunamarquezine"/>
        <s v="miguel.g.herran"/>
        <s v="louispartridge_"/>
        <s v="pubity"/>
        <s v="taina"/>
        <s v="alok"/>
        <s v="camilo"/>
        <s v="alwaysramcharan"/>
        <s v="lilyjcollins"/>
        <s v="lilnasx"/>
        <s v="sportscenter"/>
        <s v="phil.coutinho"/>
        <s v="thenotoriousmma"/>
        <s v="ms_puiyi"/>
        <s v="mo.on_air"/>
        <s v="nickjonas"/>
        <s v="hyunah_aa"/>
        <s v="todayis_wendy"/>
        <s v="weareone.exo"/>
        <s v="lildurk"/>
        <s v="hunterschafer"/>
        <s v="sadiomaneofficiel"/>
        <s v="9gag"/>
        <s v="for_everyoung10"/>
        <s v="caradelevingne"/>
        <s v="euphoria"/>
        <s v="saweetie"/>
        <s v="daquan"/>
        <s v="i_m_hendery"/>
        <s v="darshanravaldz"/>
        <s v="jadepicon"/>
        <s v="barbieferreira"/>
        <s v="kyo1122"/>
        <s v="rakulpreet"/>
        <s v="leaelui"/>
        <s v="simoneses"/>
        <s v="marvelstudios"/>
        <s v="angeldimariajm"/>
        <s v="juliette"/>
        <s v="mingue.k"/>
        <s v="obj"/>
        <s v="goar_avetisyan"/>
        <s v="yerimiese"/>
        <s v="demetozdemir"/>
        <s v="burakozcivit"/>
        <s v="gururandhawa"/>
        <s v="dntlrdl"/>
        <s v="yangyang_x2"/>
        <s v="rachel_mypark"/>
        <s v="parishilton"/>
        <s v="jhope_bighitentertainment"/>
        <s v="evcenf"/>
        <s v="iynemliarasbulut"/>
        <s v="yejinhand"/>
        <s v="jin_bighitentertainment"/>
        <s v="thibautcourtois"/>
        <s v="kun11xd"/>
        <s v="sonamkapoor"/>
        <s v="_shotaroo_"/>
        <s v="raphaelvarane"/>
        <s v="pugachevmark"/>
        <s v="shehnaazgill"/>
        <s v="thenewclassic"/>
        <s v="vanessahudgens"/>
        <s v="mariabecerra"/>
        <s v="jennaortega"/>
        <s v="aron.piper"/>
        <s v="_seorina"/>
        <s v="teddysphotos"/>
        <s v="larissamanoela"/>
        <s v="paulwesley"/>
        <s v="djxiao_888"/>
        <s v="parineetichopra"/>
        <s v="romeosantos"/>
        <s v="duki"/>
        <s v="conangray"/>
        <s v="jessnolimit"/>
        <s v="k.kbeom"/>
        <s v="chiaraferragni"/>
        <s v="nadin_serovski"/>
        <s v="adamweitsman"/>
        <s v="anupamaparameswaran96"/>
        <s v="superstar_dewasi99"/>
        <s v="offsetyrn"/>
        <s v="juanpazurita"/>
        <s v="antogriezmann"/>
        <s v="jungkook_bighitentertainment"/>
        <s v="ana_d_armas"/>
        <s v="dkharbour"/>
        <s v="ldh_sky"/>
        <s v="aboflah"/>
        <s v="polo.capalot"/>
        <s v="zefelipecantor"/>
        <s v="yuyacst"/>
        <s v="fuji_an"/>
        <s v="anahi"/>
        <s v="kingbach"/>
        <s v="yoona__lim"/>
        <s v="gianlucavacchi"/>
        <s v="xavi"/>
        <s v="anjimaxuofficially"/>
        <s v="khabib_nurmagomedov"/>
        <s v="jimmyfallon"/>
        <s v="gusttavolima"/>
        <s v="julesleblanc"/>
        <s v="ananyapanday"/>
        <s v="nickyjam"/>
        <s v="travisbarker"/>
        <s v="nikefootball"/>
        <s v="juansguarnizo"/>
        <s v="thehughjackman"/>
        <s v="c.syresmith"/>
        <s v="itsmarziapie"/>
        <s v="jailyneojeda"/>
        <s v="yooncy1"/>
        <s v="gioewbank"/>
        <s v="indiancricketteam"/>
        <s v="yugyeom"/>
        <s v="deiveleonardo"/>
        <s v="urvashirautela"/>
        <s v="aliiiiiiiikarimi8"/>
        <s v="fabriziorom"/>
        <s v="sanchooo10"/>
        <s v="joeyking"/>
        <s v="nianaguerrero"/>
        <s v="hshq"/>
        <s v="lacasadepapel"/>
        <s v="fcbayern"/>
        <s v="choi_seung_hyun_tttop"/>
        <s v="vousmevoyez"/>
        <s v="pefabiodemelo"/>
        <s v="rahulkl"/>
        <s v="donya"/>
        <s v="sav.labrant"/>
        <s v="abdevilliers17"/>
        <s v="arishfakhan138"/>
        <s v="liamhemsworth"/>
        <s v="iscoalarcon"/>
        <s v="jimin_bighitentertainment"/>
        <s v="lucasranngel"/>
        <s v="dear.zia"/>
        <s v="hakkiakdenizz"/>
        <s v="dra.deolanebezerra"/>
        <s v="jokowi"/>
        <s v="nusr_et"/>
        <s v="fortnite"/>
        <s v="loud_victor"/>
        <s v="cvillaloboss"/>
        <s v="dylansprouse"/>
        <s v="melissamelmaia"/>
        <s v="sofiaalcastro"/>
        <s v="litkillah"/>
        <s v="21savage"/>
        <s v="amitabhbachchan"/>
        <s v="maya_hawke"/>
        <s v="tatawerneck"/>
        <s v="viihtube"/>
        <s v="hm_son7"/>
        <s v="davido"/>
        <s v="leonardodicaprio"/>
        <s v="bernardokath"/>
        <s v="chloegmoretz"/>
        <s v="wizkidayo"/>
        <s v="melo"/>
        <s v="jimena.jimenezr"/>
        <s v="gessicakayane"/>
        <s v="andreavaldirisos"/>
        <s v="joaogomescantor"/>
        <s v="quavohuncho"/>
        <s v="caviarmagnat"/>
        <s v="suga_bighitentertainment"/>
        <s v="pablogavi"/>
        <s v="netflixbrasil"/>
        <s v="ridwankamil"/>
        <s v="beautifuldestinations"/>
        <s v="angelinajolie"/>
        <s v="corinnakopf"/>
        <s v="asabopp"/>
        <s v="naileadevora"/>
        <s v="lizakoshy"/>
        <s v="marimaria"/>
        <s v="ronaldo"/>
        <s v="gisele"/>
        <s v="liverpoolfc"/>
        <s v="nehasharmaofficial"/>
        <s v="marcusrashford"/>
        <s v="golfarahani"/>
        <s v="fuckjerry"/>
        <s v="nazriyafahadh"/>
        <s v="kyrieirving"/>
        <s v="xsqueezie"/>
        <s v="actorsuriya"/>
        <s v="easportsfifa"/>
        <s v="nessabarrett"/>
        <s v="trentarnold66"/>
        <s v="madisonbaileybabe"/>
        <s v="jackharlow"/>
        <s v="victoriajustice"/>
        <s v="amauryguichon"/>
        <s v="phoebejtonkin"/>
        <s v="vanessamorgan"/>
        <s v="smriti_mandhana"/>
        <s v="shreyaghoshal"/>
        <s v="achrafhakimi"/>
        <s v="aleoliveiracm"/>
        <s v="xuminghao_o"/>
        <s v="nita_shilimkar"/>
        <s v="jeromepolin"/>
        <s v="sound_of_coups"/>
        <s v="aishwaryaraibachchan_arb"/>
        <s v="emiliamernes"/>
        <s v="geewonii"/>
        <s v="markiplier"/>
        <s v="jairmessiasbolsonaro"/>
        <s v="loganpaul"/>
        <s v="klaythompson"/>
        <s v="malutrevejo"/>
        <s v="virgilvandijk"/>
        <s v="frenkiedejong"/>
        <s v="karelyruiz"/>
        <s v="ciara"/>
        <s v="joshu_acoustic"/>
        <s v="actorprabhas"/>
        <s v="avani"/>
        <s v="jensenackles"/>
        <s v="jaybnow.hr"/>
        <s v="missasinfonia"/>
        <s v="mattyperry4"/>
        <s v="__youngbae__"/>
        <s v="zoeisabellakravitz"/>
        <s v="premierleague"/>
        <s v="catherinemcbroom"/>
        <s v="kit.connor"/>
        <s v="toni.kr8s"/>
        <s v="memezar"/>
        <s v="dew_jsu"/>
        <s v="amadorat"/>
        <s v="urstrulymahesh"/>
        <s v="theslumpgod"/>
        <s v="tiffanyyoungofficial"/>
        <s v="juventus"/>
        <s v="iam_linyi"/>
        <s v="angeliqueboyer"/>
        <s v="pozevidalouca"/>
        <s v="narins_beauty"/>
        <s v="bhadbhabie"/>
        <s v="otabek_muhammadalievich"/>
        <s v="sushitrash"/>
        <s v="djsnake"/>
        <s v="kareenakapoorkhan"/>
        <s v="dindahw"/>
        <s v="chrismcg"/>
        <s v="aslisona"/>
        <s v="f1"/>
        <s v="davidalaba"/>
        <s v="haifawehbe"/>
        <s v="zo"/>
        <s v="felipeneto"/>
        <s v="jaspritb1"/>
        <s v="maudeapatow"/>
        <s v="taylor_hill"/>
        <s v="regejean"/>
        <s v="vikkialchester"/>
        <s v="simonettalein"/>
        <s v="troyesivan"/>
        <s v="alvxaro"/>
        <s v="paulwalker"/>
        <s v="amandacerny"/>
        <s v="yamigautam"/>
        <s v="candiceking"/>
        <s v="snoopdogg"/>
        <s v="thiago6"/>
        <s v="egorkreed"/>
        <s v="amybethmcnulty"/>
        <s v="charles_leclerc"/>
        <s v="avengers"/>
        <s v="dbook"/>
        <s v="l7nnon"/>
        <s v="faz3"/>
        <s v="kentooyamazaki"/>
        <s v="alishalehmann7"/>
        <s v="machinegunkelly"/>
        <s v="davikah"/>
        <s v="blythe"/>
        <s v="kingryan"/>
        <s v="sthefanematos"/>
        <s v="_agentgirl_"/>
        <s v="riyadmahrez26.7"/>
        <s v="ler_chek"/>
        <s v="arthuraguiar"/>
        <s v="harshbeniwal"/>
        <s v="youngdae0302"/>
        <s v="sugaringcandy"/>
        <s v="casemiro"/>
        <s v="jojotodynho"/>
        <s v="srinidhi_shetty"/>
        <s v="amin.hayai"/>
        <s v="dylanminnette"/>
        <s v="aliandooo"/>
        <s v="mclomaofficial"/>
        <s v="ewsbdi"/>
        <s v="pokimanelol"/>
        <s v="emmaroberts"/>
        <s v="lucyhale"/>
        <s v="stebinben"/>
        <s v="juki_lop"/>
        <s v="alfinetei"/>
        <s v="centralcee"/>
        <s v="syifahadjureal"/>
        <s v="d_degeaofficial"/>
        <s v="elmarianaa"/>
        <s v="calumhood"/>
        <s v="coolio_daryl"/>
        <s v="willyrex"/>
        <s v="liltjay"/>
        <s v="floydmayweather"/>
        <s v="georgenotfound"/>
        <s v="onwardwanna"/>
        <s v="milad_khahhh"/>
        <s v="angela_aguilar_"/>
        <s v="kaliuchis"/>
        <s v="joaoguilherme"/>
        <s v="salmahayek"/>
        <s v="rezagolzar"/>
        <s v="acunilicali"/>
        <s v="lacikaysomers"/>
        <s v="karna.val"/>
        <s v="arsenal"/>
        <s v="anas"/>
        <s v="saipallavi.senthamarai"/>
        <s v="nct_dream"/>
        <s v="violets.tv"/>
        <s v="tohi"/>
        <s v="rodridepaul"/>
        <s v="maneskinofficial"/>
        <s v="wanda_nara"/>
        <s v="perspolis"/>
        <s v="grisha_eric"/>
        <s v="miamalkova"/>
        <s v="nba"/>
        <s v="gima_ashi"/>
        <s v="burcuozberk"/>
        <s v="everyone_woo"/>
        <s v="egupta"/>
        <s v="jennifer.garner"/>
        <s v="normani"/>
        <s v="03_hu"/>
        <s v="mrancelotti"/>
        <s v="jorgelopez_as"/>
        <s v="huddy"/>
        <s v="kenzie"/>
        <s v="staskaranikolaou"/>
        <s v="saharghoreyshiofficialpage"/>
        <s v="beberexha"/>
        <s v="dqsalmaan"/>
        <s v="soyneiva"/>
        <s v="tamannaahspeaks"/>
        <s v="dava_m"/>
        <s v="nodal"/>
        <s v="vanessabryant"/>
        <s v="littlemix"/>
        <s v="issavegas"/>
        <s v="iqbaal.e"/>
        <s v="fadiljaidi"/>
        <s v="briandadeyanara"/>
        <s v="avrillavigne"/>
        <s v="rafaelnadal"/>
        <s v="dearra"/>
        <s v="courteneycoxofficial"/>
        <s v="superm"/>
        <s v="tamerhosny"/>
        <s v="valentinazenere"/>
        <s v="maddieziegler"/>
        <s v="canelo"/>
        <s v="vernonline"/>
        <s v="veradijkmans"/>
        <s v="willevy"/>
        <s v="natalee.007"/>
        <s v="indiaroyale"/>
        <s v="sebastianyatra"/>
        <s v="yefersoncossio"/>
        <s v="nabilla"/>
        <s v="andresiniesta8"/>
        <s v="spacex"/>
        <s v="letthelordbewithyou"/>
        <s v="soueunavida"/>
        <s v="tiagopzk"/>
        <s v="la_beaute_africaine"/>
        <s v="alvaromorata"/>
        <s v="ansufati"/>
        <s v="joelocke03"/>
        <s v="dagelan"/>
        <s v="bumkeyk"/>
        <s v="tombrady"/>
        <s v="streetartglobe"/>
        <s v="nobru"/>
        <s v="philfoden"/>
        <s v="brycehall"/>
        <s v="kaka"/>
        <s v="adidasfootball"/>
        <s v="asala"/>
        <s v="theamitbhadana"/>
        <s v="yg_treasure_official"/>
        <s v="brfootball"/>
        <s v="jenna_chew"/>
        <s v="cocielo"/>
        <s v="hyeri_0609"/>
        <s v="netflix"/>
        <s v="sagar_pop02"/>
        <s v="skaijackson"/>
        <s v="dejesusoficial"/>
        <s v="kawtarbamo"/>
        <s v="roddyricch"/>
        <s v="barackobama"/>
        <s v="dhanushkraja"/>
        <s v="bowerjamie"/>
        <s v="galatasaray"/>
        <s v="tomhardy"/>
        <s v="pooorblack"/>
        <s v="tejasswiprakash"/>
        <s v="larray"/>
        <s v="princessyahrini"/>
        <s v="celestinegonzaga"/>
        <s v="nicolebahls"/>
        <s v="noahbeck"/>
        <s v="jordialbaoficial"/>
        <s v="teyanataylor"/>
        <s v="residente"/>
        <s v="sivakarthikeyan"/>
        <s v="wolfiecindy"/>
        <s v="juliopfernandez"/>
        <s v="urassayas"/>
        <s v="loud_babi"/>
        <s v="aurelie.hermansyah"/>
        <s v="watanabenaomi703"/>
        <s v="sandrinna_11"/>
        <s v="irinashayk"/>
        <s v="pledis_boos"/>
        <s v="jessicajane99"/>
        <s v="soydannyalfaro"/>
        <s v="wdohwan"/>
        <s v="albafloresoficial"/>
        <s v="borodylia"/>
        <s v="markruffalo"/>
        <s v="adinross"/>
        <s v="anwar"/>
        <s v="iampauloandre"/>
        <s v="mirandacosgrove"/>
        <s v="nikitadragun"/>
        <s v="alexis_officia1"/>
        <s v="sophiedee"/>
        <s v="marcoasensio10"/>
        <s v="elliotpage"/>
        <s v="theellenshow"/>
        <s v="dudewithsign"/>
        <s v="jamorant"/>
        <s v="josephquinn"/>
        <s v="saythename_17"/>
        <s v="ludmilla"/>
        <s v="nidhhiagerwal"/>
        <s v="anirudhofficial"/>
        <s v="kto_takaya"/>
        <s v="you_r_love"/>
        <s v="kikakim"/>
        <s v="chelseafc"/>
        <s v="luara"/>
        <s v="filiperet"/>
        <s v="subo_m"/>
        <s v="rogerfederer"/>
        <s v="belindapop"/>
        <s v="miketyson"/>
        <s v="sonu_sood"/>
        <s v="sinavaliollah"/>
        <s v="priyankaamohanofficial"/>
        <s v="massafera"/>
        <s v="bleacherreport"/>
        <s v="lizzobeeating"/>
        <s v="raashiikhanna"/>
        <s v="toniruediger"/>
        <s v="fernandasouzaoficial"/>
        <s v="fedeevalverde"/>
        <s v="mohanshakti"/>
        <s v="gabigol"/>
        <s v="rebelwilson"/>
        <s v="aidanrgallagher"/>
        <s v="friends"/>
        <s v="iamyanetgarcia"/>
        <s v="vanessalopesr_"/>
        <s v="funnymike"/>
        <s v="ahmedabohashima"/>
        <s v="min.nicha"/>
        <s v="39saku_chan"/>
        <s v="bclsinclair"/>
        <s v="humansofny"/>
        <s v="dk_is_dokyeom"/>
        <s v="mariapedraza_"/>
        <s v="ms.sethii"/>
        <s v="nazormaya"/>
        <s v="arashi_5_official"/>
        <s v="francinyehlke"/>
        <s v="lucianohuck"/>
        <s v="xbox"/>
        <s v="jadenhossler"/>
        <s v="leighannepinnock"/>
        <s v="alexisren"/>
        <s v="i_nivethathomas"/>
        <s v="tontawan"/>
        <s v="serenayss"/>
        <s v="alexadellanos"/>
        <s v="gildovigor"/>
        <s v="dance_malyshka_offi"/>
        <s v="oprah"/>
        <s v="jadethirlwall"/>
        <s v="mterstegen1"/>
        <s v="madonna"/>
        <s v="karrrambaby"/>
        <s v="sincerooficial"/>
        <s v="coldplay"/>
        <s v="tommyinnit"/>
        <s v="vicdeangelis"/>
        <s v="kaylanicolejones"/>
        <s v="mahnaz_afshar"/>
        <s v="eda.ece"/>
        <s v="ateez_official_"/>
        <s v="wizkhalifa"/>
        <s v="dean.schneider"/>
        <s v="hazalkaya"/>
        <s v="sooyoungchoi"/>
        <s v="therealjosephmorgan"/>
        <s v="isaias"/>
        <s v="rossbutler"/>
        <s v="jackblack"/>
        <s v="tammyhembrow"/>
        <s v="themermaidscales"/>
        <s v="dababy"/>
        <s v="theshilpashetty"/>
        <s v="adamsandler"/>
        <s v="elcinsangu"/>
        <s v="kashikakapoor09"/>
        <s v="jessica.syj"/>
        <s v="esbilgic"/>
        <s v="imcryansp"/>
        <s v="canyaman"/>
        <s v="eilirjani"/>
        <s v="jeremyrenner"/>
        <s v="felicyangelista_"/>
        <s v="grefg_official"/>
        <s v="cole.labrant"/>
        <s v="e_milygarcia"/>
        <s v="jharden13"/>
        <s v="samsmith"/>
        <s v="ncentineo"/>
        <s v="valeyellow46"/>
        <s v="pharrell"/>
        <s v="joshrichards"/>
        <s v="rubyrose"/>
        <s v="sabinahidalgo"/>
        <s v="hitocaesar"/>
        <s v="romeestrijd"/>
        <s v="wikkiofficial"/>
        <s v="apple"/>
        <s v="divyankatripathidahiya"/>
        <s v="hadise"/>
        <s v="realhinakhan"/>
        <s v="krithi.shetty_official"/>
        <s v="dorra_zarrouk"/>
        <s v="roberto_firmino"/>
        <s v="alvaromorte"/>
        <s v="wilbursoot"/>
        <s v="warriors"/>
        <s v="jacksepticeye"/>
        <s v="hank_says_hank"/>
        <s v="bypamella"/>
        <s v="pandorakaaki"/>
        <s v="jenniferwinget1"/>
        <s v="nadine.nassib.njeim"/>
        <s v="shahinsamadpoor"/>
        <s v="julienco_"/>
        <s v="allusnehareddy"/>
        <s v="voguemagazine"/>
        <s v="ho5hi_kwon"/>
        <s v="melissabenoist"/>
        <s v="barstoolsports"/>
        <s v="piyanka_mongia"/>
        <s v="5sos"/>
        <s v="jxxvvxxk"/>
        <s v="lynaritaa"/>
        <s v="tomo.y9"/>
        <s v="wayvofficial"/>
        <s v="supremo_dp"/>
        <s v="jaredleto"/>
        <s v="thariqhalilintar"/>
        <s v="ferozekhan"/>
        <s v="garciajoshuae"/>
        <s v="nimratkhairaofficial"/>
        <s v="hanhyojoo222"/>
        <s v="memphisdepay"/>
        <s v="arminzareeiofficial"/>
        <s v="noorstars"/>
      </sharedItems>
    </cacheField>
    <cacheField name="Rank" numFmtId="0">
      <sharedItems containsSemiMixedTypes="0" containsString="0" containsNumber="1" containsInteger="1" minValue="1" maxValue="1000"/>
    </cacheField>
    <cacheField name="Category" numFmtId="0">
      <sharedItems containsBlank="1" count="155">
        <s v="Sports with a ball"/>
        <s v="Sports with a ballFamily"/>
        <s v="ModelingFashion"/>
        <s v="Music"/>
        <s v="Cinema &amp; Actors/actressesFashion"/>
        <s v="FashionBeauty"/>
        <s v="FashionModelingBeauty"/>
        <s v="MusicLifestyle"/>
        <s v="Cinema &amp; Actors/actresses"/>
        <s v="Lifestyle"/>
        <s v="MusicFashion"/>
        <s v="Clothing &amp; OutfitsLifestyle"/>
        <s v="MusicBeauty"/>
        <s v="Art/ArtistsCinema &amp; Actors/actressesMusic"/>
        <s v="Photography"/>
        <s v="ModelingLifestyle"/>
        <s v="MusicCinema &amp; Actors/actresses"/>
        <s v="Cinema &amp; Actors/actressesFitness &amp; Gym"/>
        <s v="LifestyleFashionClothing &amp; Outfits"/>
        <s v="Beauty"/>
        <s v="Art/Artists"/>
        <s v="Finance &amp; EconomicsBusiness &amp; Careers"/>
        <s v="Cinema &amp; Actors/actressesMusic"/>
        <s v="LifestyleShows"/>
        <s v="Cinema &amp; Actors/actressesModelingLifestyle"/>
        <s v="ModelingLifestyleBeauty"/>
        <s v="BeautyArt/ArtistsCinema &amp; Actors/actresses"/>
        <s v="Cinema &amp; Actors/actressesLifestyle"/>
        <s v="LifestyleMusic"/>
        <s v="Modeling"/>
        <s v="LifestyleModeling"/>
        <s v="ModelingFamily"/>
        <s v="SciencePhotography"/>
        <s v="MusicModeling"/>
        <s v="Cinema &amp; Actors/actressesModeling"/>
        <s v="Fitness &amp; GymShopping &amp; RetailClothing &amp; Outfits"/>
        <s v="BeautyModelingCinema &amp; Actors/actresses"/>
        <s v="Fitness &amp; GymLifestyle"/>
        <s v="Cinema &amp; Actors/actressesShows"/>
        <s v="ShowsHumor &amp; Fun &amp; Happiness"/>
        <s v="Computers &amp; Gadgets"/>
        <s v="Cinema &amp; Actors/actressesArt/Artists"/>
        <s v="Humor &amp; Fun &amp; HappinessClothing &amp; Outfits"/>
        <s v="Nature &amp; landscapesSciencePhotography"/>
        <s v="Cinema &amp; Actors/actressesMusicShows"/>
        <s v="ShowsLifestyle"/>
        <s v="LifestyleCinema &amp; Actors/actresses"/>
        <s v="LifestyleSports with a ball"/>
        <s v="Racing Sports"/>
        <s v="Sports with a ballLifestyle"/>
        <s v="ShowsCinema &amp; Actors/actresses"/>
        <s v="FamilyMusic"/>
        <s v="Food &amp; Cooking"/>
        <s v="MusicArt/ArtistsCinema &amp; Actors/actresses"/>
        <s v="FamilySports with a ball"/>
        <s v="LifestyleArt/Artists"/>
        <s v="Clothing &amp; OutfitsMusic"/>
        <s v="ModelingCinema &amp; Actors/actresses"/>
        <s v="ShowsAdult content"/>
        <s v="Computers &amp; GadgetsMachinery &amp; Technologies"/>
        <s v="FamilyLifestyle"/>
        <m/>
        <s v="Shows"/>
        <s v="PhotographyFashion"/>
        <s v="BeautyCinema &amp; Actors/actresses"/>
        <s v="Humor &amp; Fun &amp; Happiness"/>
        <s v="LifestyleCinema &amp; Actors/actressesMusic"/>
        <s v="BeautyFamilyLifestyle"/>
        <s v="ShowsBeautyFamily"/>
        <s v="Computers &amp; GadgetsBusiness &amp; Careers"/>
        <s v="MusicCinema &amp; Actors/actressesFashion"/>
        <s v="MusicCinema &amp; Actors/actressesModeling"/>
        <s v="Art/ArtistsBeauty"/>
        <s v="BeautyCinema &amp; Actors/actressesModeling"/>
        <s v="Family"/>
        <s v="Management &amp; MarketingMusic"/>
        <s v="Cinema &amp; Actors/actressesModelingClothing &amp; Outfits"/>
        <s v="MusicArt/Artists"/>
        <s v="Cinema &amp; Actors/actressesComics &amp; sketchesShows"/>
        <s v="MusicFamily"/>
        <s v="MusicClothing &amp; Outfits"/>
        <s v="FashionCinema &amp; Actors/actresses"/>
        <s v="Finance &amp; EconomicsBusiness &amp; CareersFamily"/>
        <s v="Art/ArtistsShows"/>
        <s v="Fitness &amp; Gym"/>
        <s v="Cinema &amp; Actors/actressesHumor &amp; Fun &amp; Happiness"/>
        <s v="ModelingLifestyleFashion"/>
        <s v="Sports with a ballShows"/>
        <s v="Adult content"/>
        <s v="LifestyleMusicCinema &amp; Actors/actresses"/>
        <s v="Cinema &amp; Actors/actressesComics &amp; sketches"/>
        <s v="LifestyleBeauty"/>
        <s v="FashionModeling"/>
        <s v="Cars &amp; MotorbikesLuxury"/>
        <s v="Business &amp; Careers"/>
        <s v="LifestyleFamily"/>
        <s v="MusicShows"/>
        <s v="Sports with a ballClothing &amp; Outfits"/>
        <s v="BeautyLifestyle"/>
        <s v="Literature &amp; JournalismTrainers &amp; Coaches"/>
        <s v="Literature &amp; JournalismShows"/>
        <s v="MusicKids &amp; Toys"/>
        <s v="Fashion"/>
        <s v="FamilyLifestyleShows"/>
        <s v="Finance &amp; Economics"/>
        <s v="ShowsCinema &amp; Actors/actressesLifestyle"/>
        <s v="Cinema &amp; Actors/actressesFamily"/>
        <s v="BeautyCinema &amp; Actors/actressesFashion"/>
        <s v="Literature &amp; JournalismBusiness &amp; CareersFinance &amp; Economics"/>
        <s v="PhotographyTravel"/>
        <s v="ModelingFashionLifestyle"/>
        <s v="EducationHumor &amp; Fun &amp; Happiness"/>
        <s v="MusicModelingArt/Artists"/>
        <s v="FashionLifestyleBeauty"/>
        <s v="LifestylePhotography"/>
        <s v="FamilyCinema &amp; Actors/actresses"/>
        <s v="Art/ArtistsFashionModeling"/>
        <s v="Art/ArtistsFashionMusic"/>
        <s v="Humor &amp; Fun &amp; HappinessShowsCinema &amp; Actors/actresses"/>
        <s v="LifestyleShowsComputers &amp; Gadgets"/>
        <s v="ShowsFamily"/>
        <s v="LifestyleMusicSports with a ball"/>
        <s v="MusicCinema &amp; Actors/actressesLifestyle"/>
        <s v="FamilyShows"/>
        <s v="Sports with a ballLifestyleKids &amp; Toys"/>
        <s v="ShowsMusic"/>
        <s v="ShowsCinema &amp; Actors/actressesModeling"/>
        <s v="ModelingMusic"/>
        <s v="ScienceMachinery &amp; Technologies"/>
        <s v="Sports with a ballLiterature &amp; Journalism"/>
        <s v="Machinery &amp; TechnologiesComputers &amp; Gadgets"/>
        <s v="LifestyleCinema &amp; Actors/actressesModeling"/>
        <s v="LifestyleModelingFashion"/>
        <s v="Cinema &amp; Actors/actressesModelingFashion"/>
        <s v="Cinema &amp; Actors/actressesHumor &amp; Fun &amp; HappinessModeling"/>
        <s v="BeautyModelingAdult content"/>
        <s v="LifestyleModelingCinema &amp; Actors/actresses"/>
        <s v="Art/ArtistsCinema &amp; Actors/actresses"/>
        <s v="Business &amp; CareersFinance &amp; Economics"/>
        <s v="FamilyLifestyleCinema &amp; Actors/actresses"/>
        <s v="Art/ArtistsCinema &amp; Actors/actressesShows"/>
        <s v="Animals"/>
        <s v="BeautyLifestyleFashion"/>
        <s v="ModelingBeauty"/>
        <s v="LifestyleFashion"/>
        <s v="ShowsModeling"/>
        <s v="LifestyleMusicArt/Artists"/>
        <s v="Humor &amp; Fun &amp; HappinessCinema &amp; Actors/actresses"/>
        <s v="Computers &amp; GadgetsPhotography"/>
        <s v="BeautyHumor &amp; Fun &amp; HappinessCinema &amp; Actors/actresses"/>
        <s v="Literature &amp; JournalismCinema &amp; Actors/actresses"/>
        <s v="Business &amp; CareersFinance"/>
        <s v="Literature &amp; JournalismFashion"/>
        <s v="Humor &amp; Fun &amp; HappinessLifestyleBeauty"/>
        <s v="TravelCinema &amp; Actors/actresses"/>
      </sharedItems>
    </cacheField>
    <cacheField name="Followers" numFmtId="0">
      <sharedItems count="414">
        <s v="462.9M"/>
        <s v="347.2M"/>
        <s v="247.6M"/>
        <s v="321.4M"/>
        <s v="147M"/>
        <s v="323.6M"/>
        <s v="218.2M"/>
        <s v="357M"/>
        <s v="334.9M"/>
        <s v="46.3M"/>
        <s v="79.9M"/>
        <s v="68.2M"/>
        <s v="206.9M"/>
        <s v="67.6M"/>
        <s v="38.1M"/>
        <s v="36.5M"/>
        <s v="37.4M"/>
        <s v="267.4M"/>
        <s v="260.4M"/>
        <s v="62.1M"/>
        <s v="104.3M"/>
        <s v="176.2M"/>
        <s v="78.6M"/>
        <s v="245.9M"/>
        <s v="61M"/>
        <s v="41.4M"/>
        <s v="197.8M"/>
        <s v="528.4M"/>
        <s v="43M"/>
        <s v="66M"/>
        <s v="137.3M"/>
        <s v="189M"/>
        <s v="54.5M"/>
        <s v="46.2M"/>
        <s v="36M"/>
        <s v="53.2M"/>
        <s v="74.9M"/>
        <s v="217.5M"/>
        <s v="127.4M"/>
        <s v="327.3M"/>
        <s v="50.6M"/>
        <s v="39M"/>
        <s v="116.6M"/>
        <s v="65.6M"/>
        <s v="178.2M"/>
        <s v="29.2M"/>
        <s v="45.8M"/>
        <s v="29.4M"/>
        <s v="27M"/>
        <s v="30.1M"/>
        <s v="69.4M"/>
        <s v="72.4M"/>
        <s v="26.6M"/>
        <s v="67.2M"/>
        <s v="27.1M"/>
        <s v="59.3M"/>
        <s v="85.1M"/>
        <s v="48.1M"/>
        <s v="64.4M"/>
        <s v="24.7M"/>
        <s v="32.9M"/>
        <s v="48.9M"/>
        <s v="24.2M"/>
        <s v="55.1M"/>
        <s v="35.2M"/>
        <s v="49M"/>
        <s v="54.6M"/>
        <s v="51.9M"/>
        <s v="22.2M"/>
        <s v="23M"/>
        <s v="28.5M"/>
        <s v="30.2M"/>
        <s v="47.7M"/>
        <s v="83.8M"/>
        <s v="23.3M"/>
        <s v="121.8M"/>
        <s v="21.6M"/>
        <s v="29M"/>
        <s v="115.1M"/>
        <s v="110M"/>
        <s v="30M"/>
        <s v="136.3M"/>
        <s v="32.3M"/>
        <s v="52.1M"/>
        <s v="14.4M"/>
        <s v="28.9M"/>
        <s v="67.8M"/>
        <s v="34.5M"/>
        <s v="45.9M"/>
        <s v="55.9M"/>
        <s v="53.9M"/>
        <s v="20M"/>
        <s v="21.9M"/>
        <s v="9.6M"/>
        <s v="17M"/>
        <s v="26.1M"/>
        <s v="80.2M"/>
        <s v="24.1M"/>
        <s v="40.7M"/>
        <s v="14.3M"/>
        <s v="40.4M"/>
        <s v="227.6M"/>
        <s v="24.6M"/>
        <s v="25.4M"/>
        <s v="27.8M"/>
        <s v="43.3M"/>
        <s v="167.2M"/>
        <s v="20.4M"/>
        <s v="81.7M"/>
        <s v="42M"/>
        <s v="62.6M"/>
        <s v="35.4M"/>
        <s v="12.1M"/>
        <s v="53.1M"/>
        <s v="49.7M"/>
        <s v="23.4M"/>
        <s v="19M"/>
        <s v="20.9M"/>
        <s v="75.6M"/>
        <s v="43.5M"/>
        <s v="12.6M"/>
        <s v="73.4M"/>
        <s v="21.3M"/>
        <s v="29.5M"/>
        <s v="16.8M"/>
        <s v="41.6M"/>
        <s v="62.7M"/>
        <s v="53M"/>
        <s v="232.2M"/>
        <s v="31.8M"/>
        <s v="62.2M"/>
        <s v="47.8M"/>
        <s v="41.2M"/>
        <s v="27.4M"/>
        <s v="57.2M"/>
        <s v="23.6M"/>
        <s v="30.7M"/>
        <s v="16M"/>
        <s v="29.1M"/>
        <s v="40.3M"/>
        <s v="35.3M"/>
        <s v="24.4M"/>
        <s v="13.6M"/>
        <s v="17.1M"/>
        <s v="20.7M"/>
        <s v="44.1M"/>
        <s v="95.7M"/>
        <s v="50.8M"/>
        <s v="36.2M"/>
        <s v="14.1M"/>
        <s v="10.8M"/>
        <s v="20.6M"/>
        <s v="49.8M"/>
        <s v="9.8M"/>
        <s v="21.2M"/>
        <s v="15.9M"/>
        <s v="25.8M"/>
        <s v="18.9M"/>
        <s v="24.5M"/>
        <s v="37M"/>
        <s v="8.5M"/>
        <s v="44.5M"/>
        <s v="44.7M"/>
        <s v="20.5M"/>
        <s v="65.5M"/>
        <s v="13M"/>
        <s v="19.1M"/>
        <s v="24.3M"/>
        <s v="10.7M"/>
        <s v="10.3M"/>
        <s v="54.7M"/>
        <s v="52.3M"/>
        <s v="35.9M"/>
        <s v="21.4M"/>
        <s v="13.5M"/>
        <s v="25.7M"/>
        <s v="14.6M"/>
        <s v="14M"/>
        <s v="16.6M"/>
        <s v="28.8M"/>
        <s v="6.9M"/>
        <s v="33.1M"/>
        <s v="21.7M"/>
        <s v="12.3M"/>
        <s v="62.9M"/>
        <s v="16.1M"/>
        <s v="25.5M"/>
        <s v="18.5M"/>
        <s v="70.4M"/>
        <s v="10.9M"/>
        <s v="74.5M"/>
        <s v="17.7M"/>
        <s v="19.8M"/>
        <s v="9M"/>
        <s v="15.5M"/>
        <s v="31.3M"/>
        <s v="22.1M"/>
        <s v="23.1M"/>
        <s v="15.1M"/>
        <s v="27.2M"/>
        <s v="10M"/>
        <s v="17.9M"/>
        <s v="38M"/>
        <s v="23.5M"/>
        <s v="61.2M"/>
        <s v="27.9M"/>
        <s v="17.4M"/>
        <s v="13.8M"/>
        <s v="9.4M"/>
        <s v="18.3M"/>
        <s v="12.9M"/>
        <s v="7.6M"/>
        <s v="8.7M"/>
        <s v="15.2M"/>
        <s v="6.3M"/>
        <s v="10.2M"/>
        <s v="11.1M"/>
        <s v="5.6M"/>
        <s v="22.3M"/>
        <s v="15M"/>
        <s v="15.3M"/>
        <s v="67.4M"/>
        <s v="9.3M"/>
        <s v="32.8M"/>
        <s v="14.9M"/>
        <s v="18.7M"/>
        <s v="13.7M"/>
        <s v="44M"/>
        <s v="27.3M"/>
        <s v="35.1M"/>
        <s v="14.2M"/>
        <s v="43.2M"/>
        <s v="13.1M"/>
        <s v="8M"/>
        <s v="6.6M"/>
        <s v="5.8M"/>
        <s v="5.7M"/>
        <s v="12.5M"/>
        <s v="16.5M"/>
        <s v="5.5M"/>
        <s v="8.2M"/>
        <s v="33.8M"/>
        <s v="14.7M"/>
        <s v="22.6M"/>
        <s v="26.8M"/>
        <s v="58.6M"/>
        <s v="4.8M"/>
        <s v="8.4M"/>
        <s v="8.3M"/>
        <s v="5.9M"/>
        <s v="6.5M"/>
        <s v="12M"/>
        <s v="7.3M"/>
        <s v="10.5M"/>
        <s v="12.8M"/>
        <s v="16.9M"/>
        <s v="18.4M"/>
        <s v="17.3M"/>
        <s v="14.8M"/>
        <s v="5.3M"/>
        <s v="22.9M"/>
        <s v="22.4M"/>
        <s v="40.1M"/>
        <s v="9.9M"/>
        <s v="11.6M"/>
        <s v="18M"/>
        <s v="65.4M"/>
        <s v="11M"/>
        <s v="17.2M"/>
        <s v="52.8M"/>
        <s v="59M"/>
        <s v="20.2M"/>
        <s v="10.1M"/>
        <s v="25M"/>
        <s v="32M"/>
        <s v="13.4M"/>
        <s v="7.8M"/>
        <s v="50.3M"/>
        <s v="23.9M"/>
        <s v="19.5M"/>
        <s v="12.2M"/>
        <s v="19.9M"/>
        <s v="38.9M"/>
        <s v="19.4M"/>
        <s v="148.8M"/>
        <s v="26.5M"/>
        <s v="43.1M"/>
        <s v="27.7M"/>
        <s v="27.5M"/>
        <s v="8.1M"/>
        <s v="4.9M"/>
        <s v="18.1M"/>
        <s v="13.9M"/>
        <s v="58.2M"/>
        <s v="5.1M"/>
        <s v="7.9M"/>
        <s v="13.2M"/>
        <s v="6.2M"/>
        <s v="13.3M"/>
        <s v="34.8M"/>
        <s v="33.7M"/>
        <s v="16.2M"/>
        <s v="6.4M"/>
        <s v="19.6M"/>
        <s v="6.7M"/>
        <s v="5.4M"/>
        <s v="16.4M"/>
        <s v="46.4M"/>
        <s v="6M"/>
        <s v="39.5M"/>
        <s v="46.1M"/>
        <s v="19.2M"/>
        <s v="17.5M"/>
        <s v="29.8M"/>
        <s v="36.4M"/>
        <s v="9.5M"/>
        <s v="7.1M"/>
        <s v="7.4M"/>
        <s v="11.8M"/>
        <s v="22.7M"/>
        <s v="11.5M"/>
        <s v="33.5M"/>
        <s v="43.8M"/>
        <s v="9.7M"/>
        <s v="43.4M"/>
        <s v="45.2M"/>
        <s v="30.5M"/>
        <s v="28.4M"/>
        <s v="11.4M"/>
        <s v="11.7M"/>
        <s v="8.6M"/>
        <s v="33.3M"/>
        <s v="29.3M"/>
        <s v="24.9M"/>
        <s v="8.8M"/>
        <s v="3.7M"/>
        <s v="47.4M"/>
        <s v="46.9M"/>
        <s v="25.9M"/>
        <s v="20.1M"/>
        <s v="9.2M"/>
        <s v="53.6M"/>
        <s v="54.2M"/>
        <s v="21.1M"/>
        <s v="4.7M"/>
        <s v="5.2M"/>
        <s v="6.1M"/>
        <s v="26.7M"/>
        <s v="7M"/>
        <s v="11.3M"/>
        <s v="3.9M"/>
        <s v="10.4M"/>
        <s v="10.6M"/>
        <s v="4.2M"/>
        <s v="57.9M"/>
        <s v="4.3M"/>
        <s v="34.2M"/>
        <s v="54M"/>
        <s v="14.5M"/>
        <s v="24M"/>
        <s v="74.6M"/>
        <s v="5M"/>
        <s v="8.9M"/>
        <s v="18.6M"/>
        <s v="9.1M"/>
        <s v="4.4M"/>
        <s v="2.5M"/>
        <s v="22.5M"/>
        <s v="16.7M"/>
        <s v="4.5M"/>
        <s v="15.4M"/>
        <s v="3.8M"/>
        <s v="3M"/>
        <s v="21.5M"/>
        <s v="12.4M"/>
        <s v="69M"/>
        <s v="2.9M"/>
        <s v="11.9M"/>
        <s v="15.6M"/>
        <s v="7.7M"/>
        <s v="4.1M"/>
        <s v="29.7M"/>
        <s v="39.7M"/>
        <s v="1.6M"/>
        <s v="3.1M"/>
        <s v="31.5M"/>
        <s v="30.4M"/>
        <s v="7.5M"/>
        <s v="4.6M"/>
        <s v="6.8M"/>
        <s v="39.6M"/>
        <s v="3.5M"/>
        <s v="18.8M"/>
        <s v="123.7M"/>
        <s v="3.2M"/>
        <s v="25.3M"/>
        <s v="19.3M"/>
        <s v="12.7M"/>
        <s v="4M"/>
        <s v="22M"/>
        <s v="15.7M"/>
        <s v="3.6M"/>
        <s v="21M"/>
        <s v="16.3M"/>
        <s v="38.4M"/>
        <s v="7.2M"/>
        <s v="26M"/>
        <s v="17.8M"/>
        <s v="11.2M"/>
        <s v="19.7M"/>
        <s v="2.6M"/>
        <s v="15.8M"/>
        <s v="24.8M"/>
        <s v="3.4M"/>
      </sharedItems>
    </cacheField>
    <cacheField name="Audience Country" numFmtId="0">
      <sharedItems containsBlank="1" count="34">
        <s v="India"/>
        <s v="Argentina"/>
        <s v="United States"/>
        <s v="Brazil"/>
        <s v="Indonesia"/>
        <s v="South Korea"/>
        <s v="Mexico"/>
        <s v="Russia"/>
        <s v="France"/>
        <s v="Italy"/>
        <s v="Egypt"/>
        <s v="Turkey"/>
        <s v="Spain"/>
        <s v="China"/>
        <s v="Iran"/>
        <s v="Colombia"/>
        <s v="Philippines"/>
        <m/>
        <s v="Poland"/>
        <s v="Thailand"/>
        <s v="United Kingdom"/>
        <s v="Iraq"/>
        <s v="Germany"/>
        <s v="Nigeria"/>
        <s v="Morocco"/>
        <s v="Syria"/>
        <s v="United Arab Emirates"/>
        <s v="Japan"/>
        <s v="Algeria"/>
        <s v="Senegal"/>
        <s v="Chile"/>
        <s v="Kazakhstan"/>
        <s v="Albania"/>
        <s v="Pakistan"/>
      </sharedItems>
    </cacheField>
    <cacheField name="Authentic Engagement" numFmtId="0">
      <sharedItems containsMixedTypes="1" containsNumber="1" containsInteger="1" minValue="0" maxValue="0"/>
    </cacheField>
    <cacheField name="Engagement Avg." numFmtId="0">
      <sharedItems count="786">
        <s v="6.6M"/>
        <s v="4.8M"/>
        <s v="4.9M"/>
        <s v="3.4M"/>
        <s v="5.8M"/>
        <s v="2.5M"/>
        <s v="3.2M"/>
        <s v="1.9M"/>
        <s v="13.3M"/>
        <s v="7.3M"/>
        <s v="8.3M"/>
        <s v="2.4M"/>
        <s v="7M"/>
        <s v="11.8M"/>
        <s v="10.4M"/>
        <s v="9.9M"/>
        <s v="1.3M"/>
        <s v="1.4M"/>
        <s v="5.6M"/>
        <s v="3.1M"/>
        <s v="1.8M"/>
        <s v="3.9M"/>
        <s v="1.2M"/>
        <s v="4.6M"/>
        <s v="6.9M"/>
        <s v="6M"/>
        <s v="434.3K"/>
        <s v="5.2M"/>
        <s v="3.3M"/>
        <s v="1.5M"/>
        <s v="1.1M"/>
        <s v="3.7M"/>
        <s v="4.3M"/>
        <s v="5.4M"/>
        <s v="3.5M"/>
        <s v="743.2K"/>
        <s v="479.8K"/>
        <s v="3.8M"/>
        <s v="2.2M"/>
        <s v="2.9M"/>
        <s v="757.2K"/>
        <s v="4.5M"/>
        <s v="2M"/>
        <s v="879.1K"/>
        <s v="2.7M"/>
        <s v="1.7M"/>
        <s v="605.9K"/>
        <s v="2.1M"/>
        <s v="396.5K"/>
        <s v="1.6M"/>
        <s v="414.5K"/>
        <s v="424.1K"/>
        <s v="338.1K"/>
        <s v="855.2K"/>
        <s v="798.4K"/>
        <s v="611K"/>
        <s v="853K"/>
        <s v="880.4K"/>
        <s v="724K"/>
        <s v="747.1K"/>
        <s v="496.7K"/>
        <s v="4.1M"/>
        <s v="2.3M"/>
        <s v="471.9K"/>
        <s v="911.9K"/>
        <s v="2.6M"/>
        <s v="892.3K"/>
        <s v="158.4K"/>
        <s v="772.1K"/>
        <s v="200.4K"/>
        <s v="403.9K"/>
        <s v="780.7K"/>
        <s v="511.5K"/>
        <s v="904.1K"/>
        <s v="598.8K"/>
        <s v="626.9K"/>
        <s v="400.3K"/>
        <s v="684K"/>
        <s v="403.7K"/>
        <s v="967.7K"/>
        <s v="685.6K"/>
        <s v="452.1K"/>
        <s v="534.9K"/>
        <s v="852.1K"/>
        <s v="117.8K"/>
        <s v="852.4K"/>
        <s v="424.3K"/>
        <s v="538.6K"/>
        <s v="625.7K"/>
        <s v="928.8K"/>
        <s v="446.2K"/>
        <s v="811.9K"/>
        <s v="850.2K"/>
        <s v="607K"/>
        <s v="688.5K"/>
        <s v="972.3K"/>
        <s v="793.7K"/>
        <s v="520.8K"/>
        <s v="237.7K"/>
        <s v="441.3K"/>
        <s v="621.4K"/>
        <s v="914.3K"/>
        <s v="436.9K"/>
        <s v="1M"/>
        <s v="837K"/>
        <s v="518.3K"/>
        <s v="866.6K"/>
        <s v="566.2K"/>
        <s v="467.9K"/>
        <s v="462.1K"/>
        <s v="974K"/>
        <s v="299.5K"/>
        <s v="787.4K"/>
        <s v="339.5K"/>
        <s v="343K"/>
        <s v="502.2K"/>
        <s v="831.4K"/>
        <s v="687.6K"/>
        <s v="613.7K"/>
        <s v="517.9K"/>
        <s v="579.2K"/>
        <s v="784.1K"/>
        <s v="687.7K"/>
        <s v="269.5K"/>
        <s v="651K"/>
        <s v="901.1K"/>
        <s v="231.8K"/>
        <s v="539K"/>
        <s v="217.1K"/>
        <s v="910.2K"/>
        <s v="815.8K"/>
        <s v="504.4K"/>
        <s v="699.8K"/>
        <s v="668.3K"/>
        <s v="560.6K"/>
        <s v="837.2K"/>
        <s v="393.2K"/>
        <s v="628.4K"/>
        <s v="240.5K"/>
        <s v="535.5K"/>
        <s v="850.1K"/>
        <s v="885.8K"/>
        <s v="923.3K"/>
        <s v="382.5K"/>
        <s v="385.9K"/>
        <s v="591.2K"/>
        <s v="876K"/>
        <s v="855.4K"/>
        <s v="192.3K"/>
        <s v="402.5K"/>
        <s v="284.4K"/>
        <s v="389.7K"/>
        <s v="602.8K"/>
        <s v="852.8K"/>
        <s v="681.1K"/>
        <s v="238.7K"/>
        <s v="918.1K"/>
        <s v="926.9K"/>
        <s v="284.7K"/>
        <s v="883.9K"/>
        <s v="460.1K"/>
        <s v="346.5K"/>
        <s v="865.9K"/>
        <s v="279.5K"/>
        <s v="926K"/>
        <s v="587.5K"/>
        <s v="489.8K"/>
        <s v="932.8K"/>
        <s v="697.7K"/>
        <s v="780.4K"/>
        <s v="766.6K"/>
        <s v="326.7K"/>
        <s v="453.7K"/>
        <s v="224.2K"/>
        <s v="705.7K"/>
        <s v="741.5K"/>
        <s v="475.1K"/>
        <s v="626.7K"/>
        <s v="397.1K"/>
        <s v="813.9K"/>
        <s v="179.4K"/>
        <s v="724.2K"/>
        <s v="709.2K"/>
        <s v="832.7K"/>
        <s v="952.4K"/>
        <s v="556K"/>
        <s v="776.3K"/>
        <s v="581.3K"/>
        <s v="531K"/>
        <s v="754.7K"/>
        <s v="685.8K"/>
        <s v="557.7K"/>
        <s v="677.8K"/>
        <s v="650K"/>
        <s v="763K"/>
        <s v="414K"/>
        <s v="960.7K"/>
        <s v="420.2K"/>
        <s v="683.1K"/>
        <s v="862.3K"/>
        <s v="233.4K"/>
        <s v="959.7K"/>
        <s v="315.7K"/>
        <s v="365K"/>
        <s v="794K"/>
        <s v="499.5K"/>
        <s v="136.6K"/>
        <s v="803.9K"/>
        <s v="622.1K"/>
        <s v="235.1K"/>
        <s v="507.3K"/>
        <s v="339K"/>
        <s v="163.6K"/>
        <s v="611.8K"/>
        <s v="145.2K"/>
        <s v="422.7K"/>
        <s v="832.2K"/>
        <s v="335.5K"/>
        <s v="259.6K"/>
        <s v="807K"/>
        <s v="616.3K"/>
        <s v="610.9K"/>
        <s v="159.8K"/>
        <s v="783.8K"/>
        <s v="333.3K"/>
        <s v="563.7K"/>
        <s v="895K"/>
        <s v="410.2K"/>
        <s v="649.5K"/>
        <s v="398.2K"/>
        <s v="200.7K"/>
        <s v="956.8K"/>
        <s v="741.7K"/>
        <s v="324.4K"/>
        <s v="401.7K"/>
        <s v="52.3K"/>
        <s v="387.1K"/>
        <s v="289.8K"/>
        <s v="181.8K"/>
        <s v="545.5K"/>
        <s v="241.7K"/>
        <s v="475.5K"/>
        <s v="275.5K"/>
        <s v="275.4K"/>
        <s v="944K"/>
        <s v="277.6K"/>
        <s v="600.8K"/>
        <s v="239.6K"/>
        <s v="297.7K"/>
        <s v="162.9K"/>
        <s v="395.8K"/>
        <s v="222.3K"/>
        <s v="402.9K"/>
        <s v="727.9K"/>
        <s v="524.5K"/>
        <s v="998.2K"/>
        <s v="621.8K"/>
        <s v="123.4K"/>
        <s v="166.5K"/>
        <s v="913.7K"/>
        <s v="542.6K"/>
        <s v="420.3K"/>
        <s v="465.2K"/>
        <s v="354.7K"/>
        <s v="524.4K"/>
        <s v="314.5K"/>
        <s v="602.1K"/>
        <s v="200K"/>
        <s v="183K"/>
        <s v="381.9K"/>
        <s v="207.7K"/>
        <s v="416K"/>
        <s v="583.1K"/>
        <s v="627.3K"/>
        <s v="439.5K"/>
        <s v="309.6K"/>
        <s v="201.6K"/>
        <s v="647K"/>
        <s v="334.2K"/>
        <s v="825.8K"/>
        <s v="491.5K"/>
        <s v="626.1K"/>
        <s v="935.8K"/>
        <s v="779.5K"/>
        <s v="589.8K"/>
        <s v="947.1K"/>
        <s v="189.3K"/>
        <s v="326.9K"/>
        <s v="441K"/>
        <s v="586.7K"/>
        <s v="379.8K"/>
        <s v="133.6K"/>
        <s v="641.3K"/>
        <s v="767.8K"/>
        <s v="444.8K"/>
        <s v="155.2K"/>
        <s v="132.8K"/>
        <s v="494.3K"/>
        <s v="901K"/>
        <s v="164.4K"/>
        <s v="319.7K"/>
        <s v="955.4K"/>
        <s v="836.5K"/>
        <s v="216.3K"/>
        <s v="648.7K"/>
        <s v="337.4K"/>
        <s v="482.2K"/>
        <s v="468.8K"/>
        <s v="295.9K"/>
        <s v="196.7K"/>
        <s v="160.9K"/>
        <s v="624.9K"/>
        <s v="834K"/>
        <s v="696.7K"/>
        <s v="829K"/>
        <s v="551.7K"/>
        <s v="236.5K"/>
        <s v="334.7K"/>
        <s v="488.2K"/>
        <s v="605K"/>
        <s v="253.1K"/>
        <s v="422.9K"/>
        <s v="256.1K"/>
        <s v="643K"/>
        <s v="499.7K"/>
        <s v="168.6K"/>
        <s v="251K"/>
        <s v="129.7K"/>
        <s v="584.6K"/>
        <s v="243.1K"/>
        <s v="129.6K"/>
        <s v="738.8K"/>
        <s v="122.2K"/>
        <s v="957.2K"/>
        <s v="180.9K"/>
        <s v="288.2K"/>
        <s v="671.6K"/>
        <s v="387.7K"/>
        <s v="192.7K"/>
        <s v="221.4K"/>
        <s v="482.6K"/>
        <s v="470.9K"/>
        <s v="103K"/>
        <s v="588K"/>
        <s v="638K"/>
        <s v="634K"/>
        <s v="280.3K"/>
        <s v="373.3K"/>
        <s v="859K"/>
        <s v="412.7K"/>
        <s v="159.4K"/>
        <s v="374.6K"/>
        <s v="510.7K"/>
        <s v="207.4K"/>
        <s v="427.1K"/>
        <s v="366.4K"/>
        <s v="744.3K"/>
        <s v="283.6K"/>
        <s v="177.9K"/>
        <s v="391.8K"/>
        <s v="205.9K"/>
        <s v="585.1K"/>
        <s v="258.7K"/>
        <s v="215.1K"/>
        <s v="352.9K"/>
        <s v="107.2K"/>
        <s v="108.6K"/>
        <s v="195.4K"/>
        <s v="474.1K"/>
        <s v="250.7K"/>
        <s v="551.1K"/>
        <s v="386.6K"/>
        <s v="577.9K"/>
        <s v="640.4K"/>
        <s v="370.6K"/>
        <s v="162.6K"/>
        <s v="694.6K"/>
        <s v="93.3K"/>
        <s v="210.6K"/>
        <s v="678.8K"/>
        <s v="206.5K"/>
        <s v="91.1K"/>
        <s v="282.1K"/>
        <s v="232.3K"/>
        <s v="340.9K"/>
        <s v="548.1K"/>
        <s v="839.2K"/>
        <s v="242.6K"/>
        <s v="569.1K"/>
        <s v="377.3K"/>
        <s v="222.6K"/>
        <s v="313.8K"/>
        <s v="630.3K"/>
        <s v="149.4K"/>
        <s v="257.1K"/>
        <s v="190.6K"/>
        <s v="358.5K"/>
        <s v="707.1K"/>
        <s v="812.7K"/>
        <s v="906.7K"/>
        <s v="231.5K"/>
        <s v="230.5K"/>
        <s v="201.9K"/>
        <s v="240.1K"/>
        <s v="116.7K"/>
        <s v="315.2K"/>
        <s v="360.5K"/>
        <s v="343.3K"/>
        <s v="274K"/>
        <s v="759.9K"/>
        <s v="271.3K"/>
        <s v="584.2K"/>
        <s v="949.4K"/>
        <s v="169.5K"/>
        <s v="651.7K"/>
        <s v="598.3K"/>
        <s v="678.6K"/>
        <s v="673.9K"/>
        <s v="196.8K"/>
        <s v="497.2K"/>
        <s v="532.6K"/>
        <s v="470.7K"/>
        <s v="720.2K"/>
        <s v="180.3K"/>
        <s v="446.8K"/>
        <s v="549.8K"/>
        <s v="910.3K"/>
        <s v="383K"/>
        <s v="630.4K"/>
        <s v="408.7K"/>
        <s v="714.3K"/>
        <s v="563.4K"/>
        <s v="404.7K"/>
        <s v="213.1K"/>
        <s v="179.7K"/>
        <s v="324.2K"/>
        <s v="361.2K"/>
        <s v="338.6K"/>
        <s v="393.9K"/>
        <s v="660.2K"/>
        <s v="129.2K"/>
        <s v="486K"/>
        <s v="216.9K"/>
        <s v="438.3K"/>
        <s v="607.3K"/>
        <s v="771.8K"/>
        <s v="528.6K"/>
        <s v="304.7K"/>
        <s v="483.3K"/>
        <s v="69.8K"/>
        <s v="558K"/>
        <s v="944.6K"/>
        <s v="117.1K"/>
        <s v="171K"/>
        <s v="666.3K"/>
        <s v="485.5K"/>
        <s v="461.9K"/>
        <s v="745.4K"/>
        <s v="320.3K"/>
        <s v="72.3K"/>
        <s v="275.9K"/>
        <s v="574K"/>
        <s v="442K"/>
        <s v="236.2K"/>
        <s v="195.2K"/>
        <s v="409.9K"/>
        <s v="415.8K"/>
        <s v="264.8K"/>
        <s v="360.4K"/>
        <s v="166.8K"/>
        <s v="191.7K"/>
        <s v="374.9K"/>
        <s v="378.2K"/>
        <s v="267.1K"/>
        <s v="237.5K"/>
        <s v="390.1K"/>
        <s v="189.4K"/>
        <s v="603.3K"/>
        <s v="339.9K"/>
        <s v="322.1K"/>
        <s v="282.2K"/>
        <s v="391K"/>
        <s v="246.7K"/>
        <s v="153.8K"/>
        <s v="230.1K"/>
        <s v="375.7K"/>
        <s v="49.8K"/>
        <s v="389K"/>
        <s v="248.9K"/>
        <s v="461.1K"/>
        <s v="268K"/>
        <s v="687K"/>
        <s v="460.9K"/>
        <s v="256.3K"/>
        <s v="740K"/>
        <s v="376.2K"/>
        <s v="210.2K"/>
        <s v="261.5K"/>
        <s v="403.6K"/>
        <s v="365.6K"/>
        <s v="395.2K"/>
        <s v="342K"/>
        <s v="270.8K"/>
        <s v="636K"/>
        <s v="801.6K"/>
        <s v="219.8K"/>
        <s v="155.3K"/>
        <s v="849.2K"/>
        <s v="396.9K"/>
        <s v="474.8K"/>
        <s v="433.1K"/>
        <s v="770.1K"/>
        <s v="567K"/>
        <s v="187.8K"/>
        <s v="139.1K"/>
        <s v="318.9K"/>
        <s v="365.5K"/>
        <s v="936K"/>
        <s v="219.3K"/>
        <s v="248.8K"/>
        <s v="887.8K"/>
        <s v="490.9K"/>
        <s v="392.1K"/>
        <s v="464.5K"/>
        <s v="118.1K"/>
        <s v="608.3K"/>
        <s v="541K"/>
        <s v="383.6K"/>
        <s v="848.7K"/>
        <s v="205.5K"/>
        <s v="152.5K"/>
        <s v="280.7K"/>
        <s v="245.4K"/>
        <s v="272.3K"/>
        <s v="449.2K"/>
        <s v="146K"/>
        <s v="577.7K"/>
        <s v="551.9K"/>
        <s v="312.5K"/>
        <s v="236K"/>
        <s v="275.2K"/>
        <s v="675.7K"/>
        <s v="528.4K"/>
        <s v="233.3K"/>
        <s v="400.1K"/>
        <s v="252.1K"/>
        <s v="287.6K"/>
        <s v="45.3K"/>
        <s v="214.4K"/>
        <s v="341.7K"/>
        <s v="359.1K"/>
        <s v="229.3K"/>
        <s v="423.6K"/>
        <s v="736.1K"/>
        <s v="366K"/>
        <s v="318.5K"/>
        <s v="256.9K"/>
        <s v="201.4K"/>
        <s v="271.4K"/>
        <s v="262K"/>
        <s v="279.2K"/>
        <s v="282.5K"/>
        <s v="252.2K"/>
        <s v="172.8K"/>
        <s v="220.9K"/>
        <s v="324.8K"/>
        <s v="186.4K"/>
        <s v="330.8K"/>
        <s v="220K"/>
        <s v="389.5K"/>
        <s v="226.6K"/>
        <s v="257.7K"/>
        <s v="188.8K"/>
        <s v="478.5K"/>
        <s v="239.4K"/>
        <s v="570.4K"/>
        <s v="129.1K"/>
        <s v="290.3K"/>
        <s v="208.1K"/>
        <s v="215.7K"/>
        <s v="719.4K"/>
        <s v="550.7K"/>
        <s v="419.6K"/>
        <s v="97.6K"/>
        <s v="313K"/>
        <s v="378.6K"/>
        <s v="72.2K"/>
        <s v="105.1K"/>
        <s v="570.3K"/>
        <s v="164.1K"/>
        <s v="330.3K"/>
        <s v="918.6K"/>
        <s v="137.6K"/>
        <s v="310.4K"/>
        <s v="227.9K"/>
        <s v="211.9K"/>
        <s v="571.5K"/>
        <s v="390.7K"/>
        <s v="148.4K"/>
        <s v="88.1K"/>
        <s v="408.6K"/>
        <s v="342.8K"/>
        <s v="522.6K"/>
        <s v="222.5K"/>
        <s v="421.4K"/>
        <s v="147.7K"/>
        <s v="385.7K"/>
        <s v="90.5K"/>
        <s v="373.9K"/>
        <s v="350.5K"/>
        <s v="156.8K"/>
        <s v="375.3K"/>
        <s v="404.2K"/>
        <s v="77.5K"/>
        <s v="634.4K"/>
        <s v="730K"/>
        <s v="236.4K"/>
        <s v="313.5K"/>
        <s v="611.6K"/>
        <s v="491.8K"/>
        <s v="406.4K"/>
        <s v="68K"/>
        <s v="360.6K"/>
        <s v="148.8K"/>
        <s v="298.3K"/>
        <s v="185.5K"/>
        <s v="177.1K"/>
        <s v="314.7K"/>
        <s v="537.1K"/>
        <s v="383.3K"/>
        <s v="786.3K"/>
        <s v="226.5K"/>
        <s v="300.5K"/>
        <s v="100.8K"/>
        <s v="273.9K"/>
        <s v="247.6K"/>
        <s v="140.8K"/>
        <s v="654.9K"/>
        <s v="449.4K"/>
        <s v="331.6K"/>
        <s v="599.2K"/>
        <s v="225.4K"/>
        <s v="143.4K"/>
        <s v="127.3K"/>
        <s v="256K"/>
        <s v="270.3K"/>
        <s v="269.2K"/>
        <s v="295.7K"/>
        <s v="186.3K"/>
        <s v="214.2K"/>
        <s v="178.9K"/>
        <s v="431.5K"/>
        <s v="21.1K"/>
        <s v="323.2K"/>
        <s v="353.7K"/>
        <s v="269.6K"/>
        <s v="95.8K"/>
        <s v="105.7K"/>
        <s v="433.6K"/>
        <s v="374.4K"/>
        <s v="465.3K"/>
        <s v="72.7K"/>
        <s v="158.3K"/>
        <s v="379.4K"/>
        <s v="262.4K"/>
        <s v="265.4K"/>
        <s v="162.8K"/>
        <s v="131.2K"/>
        <s v="350.1K"/>
        <s v="777K"/>
        <s v="97.8K"/>
        <s v="128.4K"/>
        <s v="193.2K"/>
        <s v="293.8K"/>
        <s v="622.5K"/>
        <s v="111.6K"/>
        <s v="395K"/>
        <s v="150K"/>
        <s v="252.5K"/>
        <s v="328K"/>
        <s v="202.8K"/>
        <s v="163K"/>
        <s v="205.3K"/>
        <s v="309.2K"/>
        <s v="152.6K"/>
        <s v="646.4K"/>
        <s v="669.3K"/>
        <s v="113.6K"/>
        <s v="197.8K"/>
        <s v="813.2K"/>
        <s v="198K"/>
        <s v="376.6K"/>
        <s v="679.7K"/>
        <s v="559.8K"/>
        <s v="154.4K"/>
        <s v="117.4K"/>
        <s v="185.4K"/>
        <s v="518.9K"/>
        <s v="262.5K"/>
        <s v="139.8K"/>
        <s v="633.3K"/>
        <s v="249.6K"/>
        <s v="247.4K"/>
        <s v="160.7K"/>
        <s v="676.7K"/>
        <s v="108.3K"/>
        <s v="249.1K"/>
        <s v="168.1K"/>
        <s v="125.6K"/>
        <s v="577.4K"/>
        <s v="105.3K"/>
        <s v="136.7K"/>
        <s v="662.4K"/>
        <s v="619.6K"/>
        <s v="305.9K"/>
        <s v="139K"/>
        <s v="349.3K"/>
        <s v="337.8K"/>
        <s v="58.5K"/>
        <s v="222K"/>
        <s v="316.1K"/>
        <s v="318.8K"/>
        <s v="284.3K"/>
        <s v="248K"/>
        <s v="213.4K"/>
        <s v="256.7K"/>
        <s v="145K"/>
        <s v="338K"/>
        <s v="105.9K"/>
        <s v="85.3K"/>
        <s v="166.6K"/>
        <s v="264.7K"/>
        <s v="278.4K"/>
        <s v="206.1K"/>
        <s v="321.2K"/>
        <s v="561.7K"/>
        <s v="230.9K"/>
        <s v="212.9K"/>
        <s v="101.4K"/>
        <s v="297.8K"/>
        <s v="438.1K"/>
        <s v="197.2K"/>
        <s v="188.4K"/>
        <s v="149.3K"/>
        <s v="155.9K"/>
        <s v="316.7K"/>
        <s v="109.7K"/>
        <s v="479.5K"/>
        <s v="159K"/>
        <s v="283.9K"/>
        <s v="840.6K"/>
        <s v="77.3K"/>
        <s v="155.5K"/>
        <s v="125.3K"/>
        <s v="624.4K"/>
        <s v="134.5K"/>
        <s v="156.1K"/>
        <s v="173.7K"/>
        <s v="692.2K"/>
        <s v="85.5K"/>
        <s v="271K"/>
        <s v="665.1K"/>
        <s v="218.9K"/>
        <s v="295.2K"/>
        <s v="160.2K"/>
        <s v="140.4K"/>
        <s v="481.4K"/>
        <s v="337.5K"/>
        <s v="52.5K"/>
        <s v="712.1K"/>
        <s v="148.2K"/>
        <s v="240.4K"/>
        <s v="203.6K"/>
        <s v="614.3K"/>
        <s v="234.1K"/>
        <s v="422K"/>
        <s v="283.7K"/>
        <s v="416.3K"/>
        <s v="188.5K"/>
        <s v="315.8K"/>
        <s v="412.1K"/>
        <s v="261.8K"/>
        <s v="518.2K"/>
        <s v="135.5K"/>
        <s v="214K"/>
        <s v="157.6K"/>
      </sharedItems>
    </cacheField>
    <cacheField name="Follower_Num" numFmtId="0">
      <sharedItems containsString="0" containsBlank="1" containsNumber="1" minValue="1600000" maxValue="528400000"/>
    </cacheField>
    <cacheField name="Auth_Eng_Num" numFmtId="0">
      <sharedItems containsString="0" containsBlank="1" containsNumber="1" minValue="20600" maxValue="13300000"/>
    </cacheField>
    <cacheField name="Eng_Avg_Num" numFmtId="0">
      <sharedItems containsString="0" containsBlank="1" containsNumber="1" minValue="21100" maxValue="13300000"/>
    </cacheField>
    <cacheField name="Engagement_Rate" numFmtId="0">
      <sharedItems containsString="0" containsBlank="1" containsNumber="1" minValue="1.6653193209377527E-4" maxValue="0.57493749999999999" count="939">
        <n v="1.1881615899762367E-2"/>
        <n v="1.0368663594470046E-2"/>
        <n v="1.2116316639741519E-2"/>
        <n v="7.4673304293714996E-3"/>
        <n v="2.9251700680272108E-2"/>
        <n v="5.2533992583436344E-3"/>
        <n v="1.0999083409715857E-2"/>
        <n v="3.3613445378151263E-3"/>
        <n v="4.1803523439832785E-3"/>
        <n v="0.28725701943844495"/>
        <n v="7.8848560700876091E-2"/>
        <n v="0.10263929618768329"/>
        <n v="1.0149830836152731E-2"/>
        <n v="8.4319526627218935E-2"/>
        <n v="0.30971128608923887"/>
        <n v="0.28493150684931506"/>
        <n v="0.26470588235294118"/>
        <n v="3.5523560209424088E-3"/>
        <n v="4.2242703533026116E-3"/>
        <n v="7.8904991948470213E-2"/>
        <n v="2.3010546500479387E-2"/>
        <n v="7.3779795686719635E-3"/>
        <n v="3.5623409669211195E-2"/>
        <n v="3.2472549816998778E-3"/>
        <n v="6.5573770491803282E-2"/>
        <n v="0.18449197860962566"/>
        <n v="9.420289855072464E-2"/>
        <n v="3.7623862487360972E-3"/>
        <n v="6.4269492808478423E-4"/>
        <n v="0.12093023255813953"/>
        <n v="4.5454545454545456E-2"/>
        <n v="8.0116533139111441E-3"/>
        <n v="3.9142857142857139E-3"/>
        <n v="5.5045871559633031E-2"/>
        <n v="5.844155844155844E-2"/>
        <n v="0.15"/>
        <n v="5.2631578947368418E-2"/>
        <n v="2.1361815754339118E-2"/>
        <n v="2.6928735632183909E-3"/>
        <n v="5.82182103610675E-3"/>
        <n v="1.1402383134738771E-3"/>
        <n v="4.3478260869565216E-2"/>
        <n v="6.9230769230769235E-2"/>
        <n v="6.4631217838765007E-3"/>
        <n v="2.8963414634146346E-2"/>
        <n v="4.5356371490280781E-2"/>
        <n v="3.1301907968574634E-3"/>
        <n v="0.12328767123287671"/>
        <n v="3.7117903930131008E-2"/>
        <n v="8.8435374149659865E-2"/>
        <n v="3.007518796992481E-2"/>
        <n v="0.1111111111111111"/>
        <n v="7.9734219269102985E-2"/>
        <n v="1.7595307917888565E-2"/>
        <n v="1.207492795389049E-2"/>
        <n v="1.1139502762430939E-2"/>
        <n v="9.0225563909774431E-2"/>
        <n v="1.4577380952380953E-2"/>
        <n v="8.4870848708487087E-2"/>
        <n v="2.0236087689713321E-2"/>
        <n v="8.5675675675675675E-3"/>
        <n v="2.4948024948024949E-2"/>
        <n v="1.3127329192546583E-2"/>
        <n v="9.3117408906882596E-2"/>
        <n v="3.9513677811550151E-2"/>
        <n v="2.4539877300613498E-2"/>
        <n v="8.2644628099173556E-2"/>
        <n v="1.5774954627949183E-2"/>
        <n v="3.9772727272727272E-2"/>
        <n v="1.5581632653061225E-2"/>
        <n v="1.2492673992673993E-2"/>
        <n v="1.4516377649325627E-2"/>
        <n v="9.45945945945946E-2"/>
        <n v="7.8260869565217397E-2"/>
        <n v="4.912280701754386E-2"/>
        <n v="3.9735099337748346E-2"/>
        <n v="1.4345911949685534E-2"/>
        <n v="5.5883054892601428E-3"/>
        <n v="7.2961373390557943E-2"/>
        <n v="2.3768472906403942E-3"/>
        <n v="6.9444444444444448E-2"/>
        <n v="3.793103448275862E-2"/>
        <n v="2.3197219808861859E-3"/>
        <n v="2.5600000000000002E-3"/>
        <n v="0.04"/>
        <n v="1.9405722670579604E-3"/>
        <n v="3.7151702786377715E-2"/>
        <n v="1.3358925143953935E-2"/>
        <n v="0.15277777777777779"/>
        <n v="9.392857142857142E-3"/>
        <n v="4.1522491349480967E-2"/>
        <n v="6.9129793510324484E-3"/>
        <n v="2.4008695652173912E-2"/>
        <n v="1.4677148846960168E-2"/>
        <n v="1.4289760348583877E-2"/>
        <n v="8.9874776386404294E-3"/>
        <n v="9.5528756957328383E-3"/>
        <n v="0.06"/>
        <n v="6.8493150684931503E-2"/>
        <n v="5.2442748091603058E-3"/>
        <n v="0.33333333333333331"/>
        <n v="0.11176470588235295"/>
        <n v="4.5977011494252873E-2"/>
        <n v="4.8665835411471322E-3"/>
        <n v="4.5643153526970952E-2"/>
        <n v="1.5429975429975431E-2"/>
        <n v="0.15384615384615385"/>
        <n v="1.4336633663366337E-2"/>
        <n v="5.4261862917398941E-4"/>
        <n v="4.4715447154471545E-2"/>
        <n v="4.9586776859504134E-2"/>
        <n v="3.8015748031496065E-2"/>
        <n v="2.768705035971223E-2"/>
        <n v="1.4672055427251732E-2"/>
        <n v="9.3480861244019141E-4"/>
        <n v="4.7740196078431371E-2"/>
        <n v="3.7919216646266829E-3"/>
        <n v="1.6280952380952382E-2"/>
        <n v="3.1789667896678968E-2"/>
        <n v="6.8386581469648561E-3"/>
        <n v="1.7064971751412431E-2"/>
        <n v="0.17355371900826447"/>
        <n v="8.0320150659133702E-3"/>
        <n v="1.083702213279678E-2"/>
        <n v="4.2735042735042736E-2"/>
        <n v="6.3157894736842107E-2"/>
        <n v="3.8888888888888888E-3"/>
        <n v="5.0228310502283102E-2"/>
        <n v="1.2434482758620689E-2"/>
        <n v="0.12698412698412698"/>
        <n v="2.5214814814814815E-2"/>
        <n v="4.7547683923705722E-3"/>
        <n v="3.7873239436619716E-2"/>
        <n v="2.0545762711864406E-2"/>
        <n v="5.9523809523809521E-2"/>
        <n v="1.1889423076923077E-2"/>
        <n v="4.6921850079744819E-3"/>
        <n v="7.8735849056603777E-3"/>
        <n v="1.9922600619195048E-2"/>
        <n v="3.9362618432385875E-4"/>
        <n v="1.7965408805031446E-2"/>
        <n v="5.5916398713826369E-3"/>
        <n v="7.1610878661087863E-3"/>
        <n v="1.2305825242718447E-2"/>
        <n v="2.7613138686131387E-2"/>
        <n v="5.2604895104895102E-3"/>
        <n v="3.1911016949152542E-2"/>
        <n v="1.7912052117263842E-2"/>
        <n v="8.1250000000000003E-2"/>
        <n v="1.6721649484536083E-2"/>
        <n v="1.1081885856079405E-2"/>
        <n v="1.7243626062322947E-2"/>
        <n v="7.6470588235294124E-2"/>
        <n v="3.0229508196721312E-2"/>
        <n v="6.7933823529411769E-2"/>
        <n v="5.3204678362573102E-2"/>
        <n v="1.9093103448275861E-2"/>
        <n v="4.6429951690821258E-2"/>
        <n v="7.877551020408163E-3"/>
        <n v="1.8369905956112853E-3"/>
        <n v="5.2500000000000003E-3"/>
        <n v="1.3295580110497238E-2"/>
        <n v="3.320901639344262E-2"/>
        <n v="9.2198581560283682E-2"/>
        <n v="0.15740740740740741"/>
        <n v="4.0606796116504855E-2"/>
        <n v="5.744979919678715E-3"/>
        <n v="0.18367346938775511"/>
        <n v="3.5542452830188677E-2"/>
        <n v="5.4937106918238991E-2"/>
        <n v="3.5946859903381645E-2"/>
        <n v="3.8802816901408452E-2"/>
        <n v="1.7728682170542635E-2"/>
        <n v="4.8439153439153441E-2"/>
        <n v="1.0425061425061425E-2"/>
        <n v="2.5187755102040816E-2"/>
        <n v="1.131081081081081E-2"/>
        <n v="0.24705882352941178"/>
        <n v="8.1415730337078655E-3"/>
        <n v="7.7024608501118572E-3"/>
        <n v="3.5487804878048777E-2"/>
        <n v="3.4580152671755725E-3"/>
        <n v="7.0107692307692301E-2"/>
        <n v="4.1685863874345551E-2"/>
        <n v="2.2131687242798355E-2"/>
        <n v="0.14018691588785046"/>
        <n v="0.13592233009708737"/>
        <n v="3.4881170018281537E-3"/>
        <n v="6.4347222222222222E-2"/>
        <n v="4.246653919694073E-3"/>
        <n v="1.1640668523676879E-2"/>
        <n v="3.2457943925233643E-2"/>
        <n v="8.1481481481481488E-2"/>
        <n v="1.8673151750972762E-2"/>
        <n v="6.1958904109589041E-2"/>
        <n v="7.1428571428571425E-2"/>
        <n v="5.0614457831325295E-2"/>
        <n v="1.3861111111111111E-2"/>
        <n v="0.24637681159420291"/>
        <n v="1.1474320241691843E-2"/>
        <m/>
        <n v="2.8820276497695852E-2"/>
        <n v="6.6642276422764227E-2"/>
        <n v="1.8097165991902833E-2"/>
        <n v="2.3179650238473767E-3"/>
        <n v="3.5310559006211176E-2"/>
        <n v="2.0521568627450977E-2"/>
        <n v="3.5589189189189192E-2"/>
        <n v="2.8352272727272727E-3"/>
        <n v="1.3621262458471761E-2"/>
        <n v="0.11926605504587157"/>
        <n v="2.2684563758389262E-3"/>
        <n v="4.306779661016949E-2"/>
        <n v="2.2328282828282829E-2"/>
        <n v="0.15555555555555556"/>
        <n v="5.4916129032258065E-2"/>
        <n v="1.3172523961661341E-2"/>
        <n v="2.2330316742081448E-2"/>
        <n v="1.9350649350649351E-2"/>
        <n v="5.3562913907284765E-2"/>
        <n v="9.7573529411764705E-3"/>
        <n v="0.11"/>
        <n v="3.7916201117318436E-2"/>
        <n v="8.8605263157894732E-3"/>
        <n v="1.5463829787234042E-2"/>
        <n v="2.3398692810457518E-3"/>
        <n v="1.5007168458781361E-2"/>
        <n v="3.1678160919540232E-2"/>
        <n v="4.9188405797101452E-2"/>
        <n v="6.7985507246376808E-2"/>
        <n v="0.1276595744680851"/>
        <n v="3.2366120218579236E-2"/>
        <n v="6.7604651162790699E-2"/>
        <n v="0.15789473684210525"/>
        <n v="0.14942528735632185"/>
        <n v="4.7327044025157236E-2"/>
        <n v="7.5140495867768595E-2"/>
        <n v="4.4697368421052631E-2"/>
        <n v="8.1138888888888892E-3"/>
        <n v="8.9039548022598874E-3"/>
        <n v="0.10784313725490197"/>
        <n v="6.4117117117117123E-2"/>
        <n v="2.3215246636771304E-2"/>
        <n v="4.036E-2"/>
        <n v="2.4673202614379084E-2"/>
        <n v="1.6142433234421366E-3"/>
        <n v="1.0213622291021672E-2"/>
        <n v="0.11827956989247312"/>
        <n v="4.4628820960698687E-3"/>
        <n v="9.8841463414634165E-3"/>
        <n v="2.2433962264150942E-2"/>
        <n v="4.7120805369127515E-2"/>
        <n v="2.992513368983957E-2"/>
        <n v="3.3352165725047079E-3"/>
        <n v="5.4985401459854012E-2"/>
        <n v="5.238235294117647E-2"/>
        <n v="4.7863636363636363E-3"/>
        <n v="5.3397163120567373E-2"/>
        <n v="1.2945054945054945E-2"/>
        <n v="8.2592592592592596E-3"/>
        <n v="5.7380281690140846E-2"/>
        <n v="5.2708333333333331E-3"/>
        <n v="3.6068702290076339E-2"/>
        <n v="2.3765853658536586E-2"/>
        <n v="1.4381147540983607E-2"/>
        <n v="5.9512000000000002E-2"/>
        <n v="2.9763636363636364E-2"/>
        <n v="4.3726027397260274E-2"/>
        <n v="3.5885906040268457E-2"/>
        <n v="0.10134146341463415"/>
        <n v="6.9260355029585798E-3"/>
        <n v="1.6481481481481482E-2"/>
        <n v="3.0327198364008181E-3"/>
        <n v="2.9180645161290323E-2"/>
        <n v="2.3285714285714285E-2"/>
        <n v="8.95204081632653E-2"/>
        <n v="0.18840579710144928"/>
        <n v="1.7181415929203539E-2"/>
        <n v="8.2166666666666666E-2"/>
        <n v="2.7929411764705883E-2"/>
        <n v="1.1660447761194031E-2"/>
        <n v="5.0792307692307692E-2"/>
        <n v="8.340776699029126E-2"/>
        <n v="1.953924914675768E-3"/>
        <n v="9.9265957446808509E-2"/>
        <n v="3.473943661971831E-2"/>
        <n v="3.7597222222222219E-2"/>
        <n v="0.11314285714285714"/>
        <n v="0.11208433734939757"/>
        <n v="0.23728813559322035"/>
        <n v="0.11875609756097562"/>
        <n v="5.830833333333333E-2"/>
        <n v="9.1438356164383561E-2"/>
        <n v="6.4657142857142857E-2"/>
        <n v="2.3022346368715085E-2"/>
        <n v="4.6156250000000003E-2"/>
        <n v="2.336094674556213E-2"/>
        <n v="1.7146739130434782E-2"/>
        <n v="5.3062015503875966E-2"/>
        <n v="3.9368794326241137E-2"/>
        <n v="0.16438356164383561"/>
        <n v="2.7017341040462429E-2"/>
        <n v="3.5609929078014184E-2"/>
        <n v="3.5499999999999997E-2"/>
        <n v="4.8384000000000003E-2"/>
        <n v="1.2349344978165939E-2"/>
        <n v="9.0969999999999995E-2"/>
        <n v="1.2267857142857143E-2"/>
        <n v="4.0562043795620437E-2"/>
        <n v="4.6155963302752297E-2"/>
        <n v="4.468827930174564E-3"/>
        <n v="7.3313131313131316E-2"/>
        <n v="6.735593220338983E-3"/>
        <n v="8.5551181102362199E-3"/>
        <n v="4.8775862068965517E-2"/>
        <n v="1.791111111111111E-2"/>
        <n v="1.7721712538226297E-3"/>
        <n v="6.082727272727273E-2"/>
        <n v="3.1669014084507043E-2"/>
        <n v="4.831550802139037E-3"/>
        <n v="2.4087209302325583E-2"/>
        <n v="1.0233463035019456E-2"/>
        <n v="2.3674242424242425E-3"/>
        <n v="2.8021428571428572E-2"/>
        <n v="1.5644067796610169E-3"/>
        <n v="1.3950495049504951E-2"/>
        <n v="6.8475247524752481E-2"/>
        <n v="9.1559999999999992E-3"/>
        <n v="0.11994827586206896"/>
        <n v="7.040625E-3"/>
        <n v="5.2264705882352942E-2"/>
        <n v="4.0246268656716419E-2"/>
        <n v="9.2999999999999999E-2"/>
        <n v="2.483969465648855E-2"/>
        <n v="2.8767395626242546E-3"/>
        <n v="3.849019607843137E-2"/>
        <n v="1.0175732217573221E-2"/>
        <n v="2.7624113475177306E-2"/>
        <n v="6.0222222222222226E-2"/>
        <n v="1.5205128205128204E-2"/>
        <n v="3.5983606557377049E-2"/>
        <n v="1.5346733668341708E-2"/>
        <n v="4.3727506426735219E-3"/>
        <n v="0.09"/>
        <n v="5.3065420560747666E-2"/>
        <n v="1.1205020920502093E-2"/>
        <n v="1.4747422680412372E-2"/>
        <n v="2.3857526881720429E-4"/>
        <n v="1.565326633165829E-2"/>
        <n v="6.9698113207547173E-3"/>
        <n v="2.4385150812064964E-3"/>
        <n v="2.5687943262411347E-2"/>
        <n v="9.0986842105263158E-2"/>
        <n v="5.2201257861635222E-3"/>
        <n v="1.4243749999999999E-2"/>
        <n v="7.7617328519855597E-3"/>
        <n v="6.3127272727272728E-3"/>
        <n v="0.10403703703703704"/>
        <n v="6.9148148148148146E-3"/>
        <n v="2.8712000000000001E-2"/>
        <n v="4.246006389776358E-3"/>
        <n v="7.3119999999999999E-3"/>
        <n v="2.4213973799126639E-3"/>
        <n v="1.6529411764705883E-2"/>
        <n v="0.26530612244897961"/>
        <n v="4.7264437689969602E-3"/>
        <n v="1.8751381215469612E-2"/>
        <n v="0.12930434782608696"/>
        <n v="5.7979999999999997E-2"/>
        <n v="1.339568345323741E-2"/>
        <n v="8.3041095890410963E-2"/>
        <n v="3.756034482758621E-2"/>
        <n v="1.6443298969072164E-3"/>
        <n v="0.21568627450980393"/>
        <n v="2.7906976744186047E-3"/>
        <n v="7.1670886075949361E-2"/>
        <n v="1.7704545454545455E-2"/>
        <n v="1.6214285714285716E-2"/>
        <n v="0.14377419354838711"/>
        <n v="2.5156862745098041E-2"/>
        <n v="7.7342995169082124E-3"/>
        <n v="9.841269841269841E-2"/>
        <n v="3.0947368421052633E-2"/>
        <n v="1.2104072398190046E-2"/>
        <n v="3.0870689655172413E-2"/>
        <n v="4.5373563218390808E-3"/>
        <n v="4.3743315508021387E-3"/>
        <n v="1.4502793296089387E-2"/>
        <n v="3.8753709198813056E-3"/>
        <n v="0.17084482758620689"/>
        <n v="1.3518518518518518E-2"/>
        <n v="3.6318965517241376E-2"/>
        <n v="4.7289719626168222E-2"/>
        <n v="2.2509803921568629E-2"/>
        <n v="1.1833333333333333E-2"/>
        <n v="4.9969512195121961E-3"/>
        <n v="0.12172307692307692"/>
        <n v="0.13017187499999999"/>
        <n v="5.0911764705882344E-2"/>
        <n v="1.0331632653061225E-2"/>
        <n v="9.5354430379746835E-2"/>
        <n v="2.9515151515151515E-2"/>
        <n v="4.3485436893203881E-2"/>
        <n v="0.10423188405797101"/>
        <n v="8.3597560975609761E-2"/>
        <n v="3.7981308411214956E-2"/>
        <n v="0.11317910447761194"/>
        <n v="4.8187311178247731E-3"/>
        <n v="0.16800000000000001"/>
        <n v="1.137696335078534E-2"/>
        <n v="2.129787234042553E-2"/>
        <n v="3.9974137931034485E-2"/>
        <n v="1.4323170731707319E-2"/>
        <n v="1.7672413793103448E-3"/>
        <n v="2.7734693877551019E-2"/>
        <n v="6.5719512195121954E-2"/>
        <n v="1.6971223021582733E-2"/>
        <n v="0.14001666666666668"/>
        <n v="2.870886075949367E-3"/>
        <n v="1.752711496746204E-3"/>
        <n v="2.6902439024390244E-2"/>
        <n v="0.10439130434782609"/>
        <n v="3.818918918918919E-3"/>
        <n v="1.3526041666666667E-2"/>
        <n v="3.8663366336633663E-2"/>
        <n v="9.9937499999999999E-2"/>
        <n v="9.5643835616438355E-2"/>
        <n v="0.17579245283018868"/>
        <n v="4.7054545454545457E-3"/>
        <n v="5.0138297872340427E-2"/>
        <n v="1.4114285714285715E-2"/>
        <n v="3.4549180327868856E-2"/>
        <n v="2.3579365079365078E-2"/>
        <n v="8.3216080402010052E-3"/>
        <n v="4.640939597315436E-3"/>
        <n v="2.7335164835164834E-3"/>
        <n v="5.7968421052631579E-2"/>
        <n v="8.6802816901408453E-2"/>
        <n v="6.2541176470588239E-2"/>
        <n v="0.14708928571428573"/>
        <n v="9.3283783783783783E-2"/>
        <n v="3.1952380952380954E-2"/>
        <n v="5.4674796747967479E-3"/>
        <n v="1.2680232558139534E-2"/>
        <n v="1.740677966101695E-2"/>
        <n v="3.5173469387755105E-2"/>
        <n v="5.5682819383259911E-3"/>
        <n v="2.6140740740740742E-2"/>
        <n v="7.4241071428571429E-3"/>
        <n v="4.7633333333333333E-2"/>
        <n v="3.4008695652173911E-2"/>
        <n v="3.5761194029850746E-3"/>
        <n v="8.9776785714285722E-3"/>
        <n v="1.7602739726027398E-3"/>
        <n v="4.1670103092783503E-2"/>
        <n v="9.0086956521739127E-3"/>
        <n v="2.5184331797235022E-3"/>
        <n v="6.8657894736842098E-2"/>
        <n v="1.75E-3"/>
        <n v="0.14808474576271186"/>
        <n v="5.216393442622951E-3"/>
        <n v="9.7696335078534032E-3"/>
        <n v="6.9265060240963849E-2"/>
        <n v="1.9753521126760563E-2"/>
        <n v="0.19153061224489795"/>
        <n v="4.2676056338028165E-3"/>
        <n v="7.7195121951219511E-3"/>
        <n v="3.2719298245614037E-2"/>
        <n v="2.1846153846153845E-2"/>
        <n v="1.6169811320754716E-3"/>
        <n v="4.1542553191489362E-2"/>
        <n v="4.2848837209302326E-2"/>
        <n v="4.2197674418604648E-2"/>
        <n v="1.0289473684210527E-2"/>
        <n v="2.0950704225352113E-2"/>
        <n v="7.7492063492063487E-2"/>
        <n v="2.1468750000000002E-2"/>
        <n v="3.2792792792792798E-3"/>
        <n v="2.2139860139860138E-2"/>
        <n v="3.8242718446601945E-2"/>
        <n v="5.350194552529183E-3"/>
        <n v="2.9764227642276424E-2"/>
        <n v="1.5223684210526316E-2"/>
        <n v="7.836619718309859E-2"/>
        <n v="1.3331521739130435E-2"/>
        <n v="4.9726962457337888E-3"/>
        <n v="2.1061068702290076E-2"/>
        <n v="5.7068273092369479E-3"/>
        <n v="6.0022727272727269E-2"/>
        <n v="5.9040404040404037E-3"/>
        <n v="0.32432432432432434"/>
        <n v="6.3446808510638298E-3"/>
        <n v="1.14375E-2"/>
        <n v="1.8417721518987342E-3"/>
        <n v="1.5692963752665244E-3"/>
        <n v="6.3783783783783786E-3"/>
        <n v="3.4785046728971959E-2"/>
        <n v="1.0154228855721393E-2"/>
        <n v="3.8152173913043479E-2"/>
        <n v="1.6527131782945736E-2"/>
        <n v="4.8250000000000001E-2"/>
        <n v="6.1481012658227849E-2"/>
        <n v="1.5599999999999999E-2"/>
        <n v="4.6058631921824106E-3"/>
        <n v="6.8726027397260275E-2"/>
        <n v="1.0988805970149253E-3"/>
        <n v="4.770212765957447E-3"/>
        <n v="5.6391891891891893E-2"/>
        <n v="6.0325203252032519E-3"/>
        <n v="1.3708487084870848E-3"/>
        <n v="1.3508670520231214E-2"/>
        <n v="8.2417061611374416E-3"/>
        <n v="1.1758389261744967E-2"/>
        <n v="2.9966666666666666E-2"/>
        <n v="0.10018965517241379"/>
        <n v="5.875E-3"/>
        <n v="4.6523255813953487E-2"/>
        <n v="1.0749999999999999E-2"/>
        <n v="6.3457943925233646E-3"/>
        <n v="1.4357615894039735E-2"/>
        <n v="7.3486842105263156E-2"/>
        <n v="2.7610062893081763E-3"/>
        <n v="9.1847826086956519E-3"/>
        <n v="5.7530364372469639E-3"/>
        <n v="1.6393939393939395E-2"/>
        <n v="6.894029850746268E-2"/>
        <n v="9.5810344827586214E-2"/>
        <n v="0.11801923076923077"/>
        <n v="8.6268656716417917E-3"/>
        <n v="5.9552238805970145E-3"/>
        <n v="5.0695652173913044E-3"/>
        <n v="8.3350515463917526E-3"/>
        <n v="2.0835443037974682E-3"/>
        <n v="1.8767123287671234E-2"/>
        <n v="1.7804687499999999E-2"/>
        <n v="1.9880597014925373E-2"/>
        <n v="1.2630952380952382E-2"/>
        <n v="9.2983606557377044E-2"/>
        <n v="1.0585798816568048E-2"/>
        <n v="6.3215189873417718E-2"/>
        <n v="0.14932653061224491"/>
        <n v="3.7640449438202249E-3"/>
        <n v="6.8714285714285714E-2"/>
        <n v="5.3736842105263159E-2"/>
        <n v="5.4089552238805967E-2"/>
        <n v="5.3835820895522385E-2"/>
        <n v="6.3744493392070486E-3"/>
        <n v="4.5244444444444441E-2"/>
        <n v="4.4404761904761905E-2"/>
        <n v="3.4789473684210523E-2"/>
        <n v="0.10020967741935484"/>
        <n v="6.5655737704918031E-3"/>
        <n v="3.0717171717171716E-2"/>
        <n v="2.5583333333333333E-2"/>
        <n v="0.1473265306122449"/>
        <n v="2.5646017699115044E-2"/>
        <n v="6.2289855072463769E-2"/>
        <n v="0.22151282051282051"/>
        <n v="3.0788461538461539E-2"/>
        <n v="6.3266666666666665E-2"/>
        <n v="5.6315789473684208E-2"/>
        <n v="3.4173076923076924E-2"/>
        <n v="7.5049504950495047E-3"/>
        <n v="5.7939914163090125E-3"/>
        <n v="1.7310077519379845E-2"/>
        <n v="1.736206896551724E-2"/>
        <n v="1.9390243902439024E-2"/>
        <n v="2.4754716981132074E-2"/>
        <n v="8.2140624999999995E-2"/>
        <n v="2.9628482972136228E-3"/>
        <n v="5.0488372093023252E-2"/>
        <n v="8.5079365079365078E-3"/>
        <n v="3.509375E-2"/>
        <n v="6.7144927536231885E-2"/>
        <n v="0.12751851851851853"/>
        <n v="4.9012658227848102E-2"/>
        <n v="2.0119402985074628E-2"/>
        <n v="3.7470588235294117E-2"/>
        <n v="8.2556131260794479E-4"/>
        <n v="4.3851351351351354E-2"/>
        <n v="0.1325813953488372"/>
        <n v="2.5087719298245614E-3"/>
        <n v="4.9102564102564104E-3"/>
        <n v="8.1229508196721312E-2"/>
        <n v="5.3012195121951225E-2"/>
        <n v="4.825287356321839E-2"/>
        <n v="7.9370370370370369E-2"/>
        <n v="2.0788617886178862E-2"/>
        <n v="8.9629629629629629E-4"/>
        <n v="0.19694871794871796"/>
        <n v="1.5457746478873239E-2"/>
        <n v="3.264285714285714E-2"/>
        <n v="4.0222222222222222E-2"/>
        <n v="7.6646341463414642E-3"/>
        <n v="7.2249999999999997E-3"/>
        <n v="8.1158730158730152E-2"/>
        <n v="3.6315789473684211E-2"/>
        <n v="3.5489361702127659E-2"/>
        <n v="1.2206896551724139E-2"/>
        <n v="1.5443396226415095E-2"/>
        <n v="5.9695652173913042E-3"/>
        <n v="7.6161616161616163E-3"/>
        <n v="2.6188118811881187E-2"/>
        <n v="2.5594059405940593E-2"/>
        <n v="1.0415492957746479E-2"/>
        <n v="1.04875E-2"/>
        <n v="3.4612244897959187E-2"/>
        <n v="9.6204081632653066E-2"/>
        <n v="6.3768844221105524E-3"/>
        <n v="6.0428571428571429E-2"/>
        <n v="2.5390909090909092E-2"/>
        <n v="2.0365217391304348E-2"/>
        <n v="1.4863636363636364E-2"/>
        <n v="1.6103092783505156E-2"/>
        <n v="1.1986666666666666E-2"/>
        <n v="3.9916666666666668E-3"/>
        <n v="1.2418749999999999E-2"/>
        <n v="2.7212121212121212E-2"/>
        <n v="4.9463806970509385E-4"/>
        <n v="2.3583333333333335E-2"/>
        <n v="1.3761904761904762E-2"/>
        <n v="4.9876712328767121E-2"/>
        <n v="4.3374999999999997E-2"/>
        <n v="1.5844444444444446E-2"/>
        <n v="6.4685185185185179E-2"/>
        <n v="2.388888888888889E-2"/>
        <n v="1.3527777777777777E-2"/>
        <n v="0.12731999999999999"/>
        <n v="3.182051282051282E-2"/>
        <n v="2.4123711340206185E-2"/>
        <n v="9.5621301775147931E-3"/>
        <n v="1.7014814814814816E-2"/>
        <n v="3.0022471910112359E-2"/>
        <n v="1.609090909090909E-2"/>
        <n v="8.8387096774193551E-3"/>
        <n v="3.3714285714285717E-2"/>
        <n v="2.5384615384615384E-2"/>
        <n v="8.4100719424460429E-3"/>
        <n v="8.7214285714285716E-2"/>
        <n v="0.13802272727272727"/>
        <n v="9.2201257861635223E-3"/>
        <n v="4.288888888888889E-3"/>
        <n v="0.15011904761904762"/>
        <n v="3.3500000000000002E-2"/>
        <n v="3.9472972972972975E-2"/>
        <n v="8.0718562874251502E-3"/>
        <n v="3.1246913580246914E-2"/>
        <n v="0.1144888888888889"/>
        <n v="7.0590163934426228E-2"/>
        <n v="7.0000000000000001E-3"/>
        <n v="4.3387755102040817E-3"/>
        <n v="2.4547169811320754E-2"/>
        <n v="3.3457446808510635E-2"/>
        <n v="3.2764976958525346E-3"/>
        <n v="0.10329729729729729"/>
        <n v="1.1532467532467533E-2"/>
        <n v="1.3044444444444444E-2"/>
        <n v="0.15981578947368422"/>
        <n v="4.3700000000000003E-2"/>
        <n v="3.796551724137931E-2"/>
        <n v="3.4000000000000002E-2"/>
        <n v="2.3556338028169013E-3"/>
        <n v="6.5125000000000002E-2"/>
        <n v="5.8446153846153849E-2"/>
        <n v="3.6425287356321841E-2"/>
        <n v="0.12607692307692309"/>
        <n v="6.5714285714285709E-3"/>
        <n v="5.7627906976744185E-3"/>
        <n v="1.5647540983606559E-2"/>
        <n v="1.4496350364963504E-2"/>
        <n v="1.2999999999999999E-2"/>
        <n v="5.2753424657534249E-2"/>
        <n v="4.3828828828828825E-3"/>
        <n v="8.1542372881355935E-2"/>
        <n v="2.7529411764705882E-2"/>
        <n v="1.2352517985611511E-2"/>
        <n v="1.5699999999999999E-2"/>
        <n v="7.7645833333333331E-2"/>
        <n v="6.1377049180327867E-2"/>
        <n v="1.2147058823529412E-2"/>
        <n v="3.4716049382716052E-2"/>
        <n v="1.4096774193548387E-2"/>
        <n v="1.9263636363636365E-2"/>
        <n v="4.3333333333333331E-4"/>
        <n v="1.0773972602739726E-2"/>
        <n v="2.8354838709677418E-2"/>
        <n v="0.28793103448275864"/>
        <n v="3.291954022988506E-2"/>
        <n v="1.5240601503759398E-2"/>
        <n v="3.7136986301369863E-2"/>
        <n v="0.14288095238095239"/>
        <n v="2.7940476190476189E-2"/>
        <n v="2.0208333333333332E-2"/>
        <n v="1.5905982905982906E-2"/>
        <n v="8.8791946308724827E-3"/>
        <n v="1.6630630630630631E-2"/>
        <n v="1.5491379310344828E-2"/>
        <n v="1.7453703703703704E-2"/>
        <n v="1.9679245283018867E-2"/>
        <n v="1.5831932773109243E-2"/>
        <n v="8.6104651162790691E-3"/>
        <n v="1.2566176470588235E-2"/>
        <n v="2.347872340425532E-2"/>
        <n v="9.2692307692307692E-3"/>
        <n v="8.6187499999999997E-3"/>
        <n v="3.0956043956043955E-2"/>
        <n v="9.4592592592592593E-3"/>
        <n v="3.3701298701298704E-2"/>
        <n v="1.4807692307692308E-2"/>
        <n v="1.8184210526315789E-2"/>
        <n v="9.6858974358974351E-3"/>
        <n v="3.0507936507936508E-2"/>
        <n v="1.4827868852459016E-2"/>
        <n v="9.6576923076923074E-2"/>
        <n v="4.6255506607929516E-3"/>
        <n v="2.385E-2"/>
        <n v="1.0007194244604316E-2"/>
        <n v="1.1529850746268657E-2"/>
        <n v="7.2555555555555554E-2"/>
        <n v="1.9273584905660376E-2"/>
        <n v="4.6857142857142854E-2"/>
        <n v="5.3976744186046512E-2"/>
        <n v="2.3771043771043769E-3"/>
        <n v="2.2442105263157895E-2"/>
        <n v="3.5714285714285712E-2"/>
        <n v="1.2443324937027708E-3"/>
        <n v="1.0526666666666667E-2"/>
        <n v="2.5201465201465201E-3"/>
        <n v="4.6519337016574583E-3"/>
        <n v="4.9000000000000002E-2"/>
        <n v="0.57493749999999999"/>
        <n v="6.0747126436781606E-3"/>
        <n v="2.5034482758620691E-2"/>
        <n v="3.8660287081339713E-3"/>
        <n v="2.8163043478260874E-2"/>
        <n v="9.8399999999999998E-3"/>
        <n v="7.2352941176470585E-3"/>
        <n v="1.0762962962962964E-2"/>
        <n v="6.5240000000000006E-2"/>
        <n v="4.1726027397260272E-2"/>
        <n v="4.8663101604278078E-3"/>
        <n v="2.0571428571428572E-3"/>
        <n v="3.3047619047619048E-2"/>
        <n v="7.5722222222222219E-2"/>
        <n v="1.1120967741935484E-2"/>
        <n v="5.1477611940298505E-2"/>
        <n v="5.053475935828877E-3"/>
        <n v="4.3849315068493148E-2"/>
        <n v="1.8355263157894736E-3"/>
        <n v="3.169333333333333E-2"/>
        <n v="2.4799999999999999E-2"/>
        <n v="5.8057142857142856E-3"/>
        <n v="3.7432432432432432E-2"/>
        <n v="3.0507246376811594E-2"/>
        <n v="1.8841807909604519E-3"/>
        <n v="0.11129545454545454"/>
        <n v="0.14399999999999999"/>
        <n v="1.7017391304347824E-2"/>
        <n v="2.9034482758620691E-2"/>
        <n v="0.10278260869565217"/>
        <n v="6.4934426229508194E-2"/>
        <n v="4.0823529411764703E-2"/>
        <n v="1.297979797979798E-3"/>
        <n v="4.2526315789473683E-2"/>
        <n v="4.5792349726775953E-3"/>
        <n v="1.9630434782608695E-2"/>
        <n v="8.8689655172413794E-3"/>
        <n v="6.8552631578947367E-3"/>
        <n v="2.3045454545454546E-2"/>
        <n v="8.9411764705882357E-2"/>
        <n v="3.2464788732394369E-2"/>
        <n v="0.17660000000000001"/>
        <n v="1.5720338983050846E-2"/>
        <n v="2.0483516483516484E-2"/>
        <n v="3.0150375939849623E-3"/>
        <n v="2.5979797979797981E-2"/>
        <n v="1.8121495327102805E-2"/>
        <n v="5.4308510638297874E-3"/>
        <n v="0.13175609756097562"/>
        <n v="5.6816666666666668E-2"/>
        <n v="3.5790123456790127E-2"/>
        <n v="0.10048888888888889"/>
        <n v="1.42991452991453E-2"/>
        <n v="6.3423913043478258E-3"/>
        <n v="4.7846889952153108E-3"/>
        <n v="0.16966666666666666"/>
        <n v="1.6864077669902913E-2"/>
        <n v="7.6899999999999998E-3"/>
        <n v="1.7434343434343434E-2"/>
        <n v="2.1499999999999998E-2"/>
        <n v="8.0141843971631207E-3"/>
        <n v="1.3073170731707317E-2"/>
        <n v="8.0344827586206896E-3"/>
        <n v="4.9131147540983605E-2"/>
        <n v="1.6653193209377527E-4"/>
        <n v="2.5296296296296296E-2"/>
        <n v="2.9581081081081081E-2"/>
        <n v="2.5010416666666667E-2"/>
        <n v="2.3613138686131387E-3"/>
        <n v="3.5925925925925925E-3"/>
        <n v="5.7083333333333333E-2"/>
        <n v="4.3357142857142858E-2"/>
        <n v="6.6218181818181815E-2"/>
        <n v="4.0565217391304351E-2"/>
        <n v="1.4051724137931034E-3"/>
        <n v="6.0314465408805029E-3"/>
        <n v="2.1749999999999999E-2"/>
        <n v="2.1816326530612246E-2"/>
        <n v="2.1385416666666667E-2"/>
        <n v="7.329032258064516E-3"/>
        <n v="5.3684210526315787E-3"/>
        <n v="1.0520833333333333E-2"/>
        <n v="3.7958904109589041E-2"/>
        <n v="0.21156249999999999"/>
        <n v="2.6561264822134389E-3"/>
        <n v="3.3575129533678755E-3"/>
        <n v="1.0858267716535433E-2"/>
        <n v="2.8988235294117648E-2"/>
        <n v="0.1036"/>
        <n v="3.6863636363636365E-3"/>
        <n v="4.4253968253968254E-2"/>
        <n v="7.6728395061728396E-3"/>
        <n v="1.686868686868687E-2"/>
        <n v="1.6442477876106195E-2"/>
        <n v="3.6319999999999998E-2"/>
        <n v="1.3571428571428571E-2"/>
        <n v="8.6621621621621615E-3"/>
        <n v="5.3931623931623932E-3"/>
        <n v="2.1837499999999999E-2"/>
        <n v="7.1847133757961786E-3"/>
        <n v="0.1278918918918919"/>
        <n v="0.15080555555555555"/>
        <n v="3.4238095238095238E-3"/>
        <n v="1.3818181818181818E-2"/>
        <n v="0.22493333333333335"/>
        <n v="1.2508333333333333E-2"/>
        <n v="3.8292307692307695E-2"/>
        <n v="0.13120000000000001"/>
        <n v="0.122"/>
        <n v="4.5909090909090908E-3"/>
        <n v="4.5637254901960784E-3"/>
        <n v="1.1851562499999999E-2"/>
        <n v="7.3152173913043475E-2"/>
        <n v="2.048888888888889E-2"/>
        <n v="5.3975903614457829E-3"/>
        <n v="5.5409836065573773E-2"/>
        <n v="0.13013513513513514"/>
        <n v="2.0723404255319149E-2"/>
        <n v="1.6829787234042552E-2"/>
        <n v="7.5231788079470202E-3"/>
        <n v="0.151"/>
        <n v="4.2863849765258219E-3"/>
        <n v="2.0462365591397851E-2"/>
        <n v="8.2740740740740743E-3"/>
        <n v="4.5489130434782608E-3"/>
        <n v="0.13012499999999999"/>
        <n v="2.5395348837209302E-3"/>
        <n v="5.9156626506024091E-3"/>
        <n v="0.16765714285714287"/>
        <n v="0.11294594594594595"/>
        <n v="1.9266666666666668E-2"/>
        <n v="6.2147239263803684E-3"/>
        <n v="4.366153846153846E-2"/>
        <n v="4.3205882352941177E-2"/>
        <n v="1.0755208333333333E-3"/>
        <n v="1.713861386138614E-2"/>
        <n v="3.7055555555555557E-2"/>
        <n v="3.7197183098591546E-2"/>
        <n v="2.835E-2"/>
        <n v="8.1847826086956527E-3"/>
        <n v="1.4673076923076922E-2"/>
        <n v="2.2340909090909092E-2"/>
        <n v="5.019607843137255E-3"/>
        <n v="4.1515151515151512E-2"/>
        <n v="3.080188679245283E-3"/>
        <n v="2.8500000000000001E-3"/>
        <n v="9.738805970149254E-3"/>
        <n v="2.5882352941176471E-2"/>
        <n v="3.1913580246913577E-2"/>
        <n v="1.5775700934579438E-2"/>
        <n v="3.6057142857142857E-2"/>
        <n v="5.9025000000000001E-2"/>
        <n v="1.8959183673469389E-2"/>
        <n v="1.4320388349514563E-2"/>
        <n v="5.7752808988764046E-3"/>
        <n v="3.4232558139534884E-3"/>
        <n v="3.3418918918918919E-2"/>
        <n v="6.0960784313725487E-2"/>
        <n v="1.0642857142857143E-2"/>
        <n v="9.4655172413793103E-3"/>
        <n v="6.9863013698630138E-3"/>
        <n v="4.6309523809523806E-3"/>
        <n v="8.5827338129496403E-3"/>
        <n v="7.8633093525179859E-3"/>
        <n v="3.2724637681159421E-2"/>
        <n v="4.187817258883249E-3"/>
        <n v="8.5021276595744683E-2"/>
        <n v="8.3014705882352938E-3"/>
        <n v="2.47012987012987E-2"/>
        <n v="0.25965384615384618"/>
        <n v="2.0827338129496401E-3"/>
        <n v="4.5098039215686276E-3"/>
        <n v="9.6521739130434776E-3"/>
        <n v="5.9360465116279071E-3"/>
        <n v="0.15082857142857142"/>
        <n v="6.360759493670886E-3"/>
        <n v="7.6985294117647056E-3"/>
        <n v="1.039344262295082E-2"/>
        <n v="0.17416129032258065"/>
        <n v="2.4556451612903225E-3"/>
        <n v="2.9556962025316456E-2"/>
        <n v="0.17709374999999999"/>
        <n v="1.3040816326530612E-2"/>
        <n v="2.9342465753424658E-2"/>
        <n v="1.0007633587786259E-2"/>
        <n v="6.5866666666666669E-3"/>
        <n v="8.1177777777777779E-2"/>
        <n v="4.3396825396825399E-2"/>
        <n v="2.6914634146341467E-2"/>
        <n v="8.6363636363636362E-4"/>
        <n v="0.18233333333333332"/>
        <n v="6.7645833333333336E-2"/>
        <n v="7.0647482014388491E-3"/>
        <n v="2.1761363636363638E-2"/>
        <n v="1.4594059405940595E-2"/>
        <n v="0.14405882352941177"/>
        <n v="1.9633333333333332E-2"/>
        <n v="7.8719999999999998E-2"/>
        <n v="3.2630136986301371E-2"/>
        <n v="6.7580000000000001E-2"/>
        <n v="1.3752293577981651E-2"/>
        <n v="3.0486486486486487E-2"/>
        <n v="4.0515151515151518E-2"/>
        <n v="7.1499999999999994E-2"/>
        <n v="2.6387500000000001E-2"/>
        <n v="0.10854999999999999"/>
        <n v="5.0933333333333334E-3"/>
        <n v="1.3816326530612245E-2"/>
        <n v="9.0461538461538461E-3"/>
      </sharedItems>
    </cacheField>
    <cacheField name="Follower_Categories" numFmtId="0">
      <sharedItems containsBlank="1" count="5">
        <s v="Tier 4"/>
        <s v="Tier 2"/>
        <s v="Tier 3"/>
        <s v="Tier 1"/>
        <m/>
      </sharedItems>
    </cacheField>
  </cacheFields>
  <extLst>
    <ext xmlns:x14="http://schemas.microsoft.com/office/spreadsheetml/2009/9/main" uri="{725AE2AE-9491-48be-B2B4-4EB974FC3084}">
      <x14:pivotCacheDefinition pivotCacheId="19265814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0">
  <r>
    <s v="cristiano"/>
    <n v="1"/>
    <x v="0"/>
    <s v="462.9M"/>
    <x v="0"/>
    <s v="5.5M"/>
    <s v="6.6M"/>
    <x v="0"/>
    <n v="5500000"/>
    <n v="6600000"/>
    <n v="1.1881615899762367E-2"/>
  </r>
  <r>
    <s v="leomessi"/>
    <n v="2"/>
    <x v="1"/>
    <s v="347.2M"/>
    <x v="1"/>
    <s v="3.6M"/>
    <s v="4.8M"/>
    <x v="1"/>
    <n v="3600000"/>
    <n v="4800000"/>
    <n v="1.0368663594470046E-2"/>
  </r>
  <r>
    <s v="kendalljenner"/>
    <n v="3"/>
    <x v="2"/>
    <s v="247.6M"/>
    <x v="2"/>
    <s v="3M"/>
    <s v="4.9M"/>
    <x v="2"/>
    <n v="3000000"/>
    <n v="4900000"/>
    <n v="1.2116316639741519E-2"/>
  </r>
  <r>
    <s v="arianagrande"/>
    <n v="4"/>
    <x v="3"/>
    <s v="321.4M"/>
    <x v="2"/>
    <s v="2.4M"/>
    <s v="3.4M"/>
    <x v="3"/>
    <n v="2400000"/>
    <n v="3400000"/>
    <n v="7.4673304293714996E-3"/>
  </r>
  <r>
    <s v="zendaya"/>
    <n v="5"/>
    <x v="4"/>
    <s v="147M"/>
    <x v="2"/>
    <s v="4.3M"/>
    <s v="5.8M"/>
    <x v="4"/>
    <n v="4300000"/>
    <n v="5800000"/>
    <n v="2.9251700680272108E-2"/>
  </r>
  <r>
    <s v="kimkardashian"/>
    <n v="6"/>
    <x v="5"/>
    <s v="323.6M"/>
    <x v="2"/>
    <s v="1.7M"/>
    <s v="2.5M"/>
    <x v="5"/>
    <n v="1700000"/>
    <n v="2500000"/>
    <n v="5.2533992583436344E-3"/>
  </r>
  <r>
    <s v="taylorswift"/>
    <n v="7"/>
    <x v="3"/>
    <s v="218.2M"/>
    <x v="3"/>
    <s v="2.4M"/>
    <s v="3.2M"/>
    <x v="6"/>
    <n v="2400000"/>
    <n v="3200000"/>
    <n v="1.0999083409715857E-2"/>
  </r>
  <r>
    <s v="kyliejenner"/>
    <n v="8"/>
    <x v="6"/>
    <s v="357M"/>
    <x v="2"/>
    <s v="1.2M"/>
    <s v="1.9M"/>
    <x v="7"/>
    <n v="1200000"/>
    <n v="1900000"/>
    <n v="3.3613445378151263E-3"/>
  </r>
  <r>
    <s v="selenagomez"/>
    <n v="9"/>
    <x v="7"/>
    <s v="334.9M"/>
    <x v="2"/>
    <s v="1.4M"/>
    <s v="1.9M"/>
    <x v="8"/>
    <n v="1400000"/>
    <n v="1900000"/>
    <n v="4.1803523439832785E-3"/>
  </r>
  <r>
    <s v="thv"/>
    <n v="10"/>
    <x v="3"/>
    <s v="46.3M"/>
    <x v="2"/>
    <s v="13.3M"/>
    <s v="13.3M"/>
    <x v="9"/>
    <n v="13300000"/>
    <n v="13300000"/>
    <n v="0.28725701943844495"/>
  </r>
  <r>
    <s v="lalalalisa_m"/>
    <n v="11"/>
    <x v="3"/>
    <s v="79.9M"/>
    <x v="4"/>
    <s v="6.3M"/>
    <s v="7.3M"/>
    <x v="10"/>
    <n v="6300000"/>
    <n v="7300000"/>
    <n v="7.8848560700876091E-2"/>
  </r>
  <r>
    <s v="jennierubyjane"/>
    <n v="12"/>
    <x v="3"/>
    <s v="68.2M"/>
    <x v="4"/>
    <s v="7M"/>
    <s v="8.3M"/>
    <x v="11"/>
    <n v="7000000"/>
    <n v="8300000.0000000009"/>
    <n v="0.10263929618768329"/>
  </r>
  <r>
    <s v="virat.kohli"/>
    <n v="13"/>
    <x v="0"/>
    <s v="206.9M"/>
    <x v="0"/>
    <s v="2.1M"/>
    <s v="2.4M"/>
    <x v="12"/>
    <n v="2100000"/>
    <n v="2400000"/>
    <n v="1.0149830836152731E-2"/>
  </r>
  <r>
    <s v="tomholland2013"/>
    <n v="14"/>
    <x v="8"/>
    <s v="67.6M"/>
    <x v="2"/>
    <s v="5.7M"/>
    <s v="7M"/>
    <x v="13"/>
    <n v="5700000"/>
    <n v="7000000"/>
    <n v="8.4319526627218935E-2"/>
  </r>
  <r>
    <s v="j.m"/>
    <n v="15"/>
    <x v="3"/>
    <s v="38.1M"/>
    <x v="4"/>
    <s v="11.8M"/>
    <s v="11.8M"/>
    <x v="14"/>
    <n v="11800000"/>
    <n v="11800000"/>
    <n v="0.30971128608923887"/>
  </r>
  <r>
    <s v="agustd"/>
    <n v="16"/>
    <x v="9"/>
    <s v="36.5M"/>
    <x v="4"/>
    <s v="10.4M"/>
    <s v="10.4M"/>
    <x v="15"/>
    <n v="10400000"/>
    <n v="10400000"/>
    <n v="0.28493150684931506"/>
  </r>
  <r>
    <s v="jin"/>
    <n v="17"/>
    <x v="3"/>
    <s v="37.4M"/>
    <x v="2"/>
    <s v="9.9M"/>
    <s v="9.9M"/>
    <x v="16"/>
    <n v="9900000"/>
    <n v="9900000"/>
    <n v="0.26470588235294118"/>
  </r>
  <r>
    <s v="beyonce"/>
    <n v="18"/>
    <x v="10"/>
    <s v="267.4M"/>
    <x v="2"/>
    <s v="949.9K"/>
    <s v="1.3M"/>
    <x v="17"/>
    <n v="949900"/>
    <n v="1300000"/>
    <n v="3.5523560209424088E-3"/>
  </r>
  <r>
    <s v="khloekardashian"/>
    <n v="19"/>
    <x v="11"/>
    <s v="260.4M"/>
    <x v="2"/>
    <s v="1.1M"/>
    <s v="1.4M"/>
    <x v="18"/>
    <n v="1100000"/>
    <n v="1400000"/>
    <n v="4.2242703533026116E-3"/>
  </r>
  <r>
    <s v="sooyaaa__"/>
    <n v="20"/>
    <x v="12"/>
    <s v="62.1M"/>
    <x v="4"/>
    <s v="4.9M"/>
    <s v="5.6M"/>
    <x v="19"/>
    <n v="4900000"/>
    <n v="5600000"/>
    <n v="7.8904991948470213E-2"/>
  </r>
  <r>
    <s v="billieeilish"/>
    <n v="21"/>
    <x v="3"/>
    <s v="104.3M"/>
    <x v="2"/>
    <s v="2.4M"/>
    <s v="3.1M"/>
    <x v="20"/>
    <n v="2400000"/>
    <n v="3100000"/>
    <n v="2.3010546500479387E-2"/>
  </r>
  <r>
    <s v="neymarjr"/>
    <n v="22"/>
    <x v="0"/>
    <s v="176.2M"/>
    <x v="3"/>
    <s v="1.3M"/>
    <s v="1.8M"/>
    <x v="21"/>
    <n v="1300000"/>
    <n v="1800000"/>
    <n v="7.3779795686719635E-3"/>
  </r>
  <r>
    <s v="khaby00"/>
    <n v="23"/>
    <x v="0"/>
    <s v="78.6M"/>
    <x v="0"/>
    <s v="2.8M"/>
    <s v="3.9M"/>
    <x v="22"/>
    <n v="2800000"/>
    <n v="3900000"/>
    <n v="3.5623409669211195E-2"/>
  </r>
  <r>
    <s v="justinbieber"/>
    <n v="24"/>
    <x v="3"/>
    <s v="245.9M"/>
    <x v="0"/>
    <s v="798.5K"/>
    <s v="1.2M"/>
    <x v="23"/>
    <n v="798500"/>
    <n v="1200000"/>
    <n v="3.2472549816998778E-3"/>
  </r>
  <r>
    <s v="roses_are_rosie"/>
    <n v="25"/>
    <x v="3"/>
    <s v="61M"/>
    <x v="4"/>
    <s v="4M"/>
    <s v="4.6M"/>
    <x v="24"/>
    <n v="4000000"/>
    <n v="4600000"/>
    <n v="6.5573770491803282E-2"/>
  </r>
  <r>
    <s v="uarmyhope"/>
    <n v="26"/>
    <x v="13"/>
    <s v="37.4M"/>
    <x v="5"/>
    <s v="6.9M"/>
    <s v="6.9M"/>
    <x v="16"/>
    <n v="6900000"/>
    <n v="6900000"/>
    <n v="0.18449197860962566"/>
  </r>
  <r>
    <s v="badbunnypr"/>
    <n v="27"/>
    <x v="3"/>
    <s v="41.4M"/>
    <x v="2"/>
    <s v="3.9M"/>
    <s v="6M"/>
    <x v="25"/>
    <n v="3900000"/>
    <n v="6000000"/>
    <n v="9.420289855072464E-2"/>
  </r>
  <r>
    <s v="nickiminaj"/>
    <n v="28"/>
    <x v="3"/>
    <s v="197.8M"/>
    <x v="2"/>
    <s v="744.2K"/>
    <s v="1.2M"/>
    <x v="26"/>
    <n v="744200"/>
    <n v="1200000"/>
    <n v="3.7623862487360972E-3"/>
  </r>
  <r>
    <s v="instagram"/>
    <n v="29"/>
    <x v="14"/>
    <s v="528.4M"/>
    <x v="0"/>
    <s v="339.6K"/>
    <s v="434.3K"/>
    <x v="27"/>
    <n v="339600"/>
    <n v="434300"/>
    <n v="6.4269492808478423E-4"/>
  </r>
  <r>
    <s v="jungkook.97"/>
    <n v="30"/>
    <x v="3"/>
    <s v="43M"/>
    <x v="4"/>
    <s v="5.2M"/>
    <s v="5.2M"/>
    <x v="28"/>
    <n v="5200000"/>
    <n v="5200000"/>
    <n v="0.12093023255813953"/>
  </r>
  <r>
    <s v="bts.bighitofficial"/>
    <n v="31"/>
    <x v="3"/>
    <s v="66M"/>
    <x v="4"/>
    <s v="3M"/>
    <s v="3.3M"/>
    <x v="29"/>
    <n v="3000000"/>
    <n v="3300000"/>
    <n v="4.5454545454545456E-2"/>
  </r>
  <r>
    <s v="iamcardib"/>
    <n v="32"/>
    <x v="10"/>
    <s v="137.3M"/>
    <x v="2"/>
    <s v="1.1M"/>
    <s v="1.5M"/>
    <x v="30"/>
    <n v="1100000"/>
    <n v="1500000"/>
    <n v="8.0116533139111441E-3"/>
  </r>
  <r>
    <s v="kourtneykardash"/>
    <n v="33"/>
    <x v="9"/>
    <s v="189M"/>
    <x v="2"/>
    <s v="739.8K"/>
    <s v="1.1M"/>
    <x v="31"/>
    <n v="739800"/>
    <n v="1100000"/>
    <n v="3.9142857142857139E-3"/>
  </r>
  <r>
    <s v="karolg"/>
    <n v="34"/>
    <x v="3"/>
    <s v="54.5M"/>
    <x v="6"/>
    <s v="3M"/>
    <s v="3.7M"/>
    <x v="32"/>
    <n v="3000000"/>
    <n v="3700000"/>
    <n v="5.5045871559633031E-2"/>
  </r>
  <r>
    <s v="zayn"/>
    <n v="35"/>
    <x v="3"/>
    <s v="46.2M"/>
    <x v="0"/>
    <s v="2.7M"/>
    <s v="4.3M"/>
    <x v="33"/>
    <n v="2700000"/>
    <n v="4300000"/>
    <n v="5.844155844155844E-2"/>
  </r>
  <r>
    <s v="rkive"/>
    <n v="36"/>
    <x v="9"/>
    <s v="36M"/>
    <x v="4"/>
    <s v="5.4M"/>
    <s v="5.4M"/>
    <x v="34"/>
    <n v="5400000"/>
    <n v="5400000"/>
    <n v="0.15"/>
  </r>
  <r>
    <s v="milliebobbybrown"/>
    <n v="37"/>
    <x v="8"/>
    <s v="53.2M"/>
    <x v="3"/>
    <s v="2.8M"/>
    <s v="3.5M"/>
    <x v="35"/>
    <n v="2800000"/>
    <n v="3500000"/>
    <n v="5.2631578947368418E-2"/>
  </r>
  <r>
    <s v="gigihadid"/>
    <n v="38"/>
    <x v="15"/>
    <s v="74.9M"/>
    <x v="2"/>
    <s v="1.6M"/>
    <s v="2.4M"/>
    <x v="36"/>
    <n v="1600000"/>
    <n v="2400000"/>
    <n v="2.1361815754339118E-2"/>
  </r>
  <r>
    <s v="jlo"/>
    <n v="39"/>
    <x v="16"/>
    <s v="217.5M"/>
    <x v="2"/>
    <s v="585.7K"/>
    <s v="743.2K"/>
    <x v="37"/>
    <n v="585700"/>
    <n v="743200"/>
    <n v="2.6928735632183909E-3"/>
  </r>
  <r>
    <s v="kingjames"/>
    <n v="40"/>
    <x v="0"/>
    <s v="127.4M"/>
    <x v="2"/>
    <s v="741.7K"/>
    <s v="1.3M"/>
    <x v="38"/>
    <n v="741700"/>
    <n v="1300000"/>
    <n v="5.82182103610675E-3"/>
  </r>
  <r>
    <s v="therock"/>
    <n v="41"/>
    <x v="17"/>
    <s v="327.3M"/>
    <x v="0"/>
    <s v="373.2K"/>
    <s v="479.8K"/>
    <x v="39"/>
    <n v="373200"/>
    <n v="479800"/>
    <n v="1.1402383134738771E-3"/>
  </r>
  <r>
    <s v="adele"/>
    <n v="42"/>
    <x v="3"/>
    <s v="50.6M"/>
    <x v="2"/>
    <s v="2.2M"/>
    <s v="3.1M"/>
    <x v="40"/>
    <n v="2200000"/>
    <n v="3100000"/>
    <n v="4.3478260869565216E-2"/>
  </r>
  <r>
    <s v="georginagio"/>
    <n v="43"/>
    <x v="18"/>
    <s v="39M"/>
    <x v="0"/>
    <s v="2.7M"/>
    <s v="3.8M"/>
    <x v="41"/>
    <n v="2700000"/>
    <n v="3800000"/>
    <n v="6.9230769230769235E-2"/>
  </r>
  <r>
    <s v="champagnepapi"/>
    <n v="44"/>
    <x v="3"/>
    <s v="116.6M"/>
    <x v="2"/>
    <s v="753.6K"/>
    <s v="1.2M"/>
    <x v="42"/>
    <n v="753600"/>
    <n v="1200000"/>
    <n v="6.4631217838765007E-3"/>
  </r>
  <r>
    <s v="katrinakaif"/>
    <n v="45"/>
    <x v="19"/>
    <s v="65.6M"/>
    <x v="0"/>
    <s v="1.9M"/>
    <s v="2.2M"/>
    <x v="43"/>
    <n v="1900000"/>
    <n v="2200000"/>
    <n v="2.8963414634146346E-2"/>
  </r>
  <r>
    <s v="harrystyles"/>
    <n v="46"/>
    <x v="10"/>
    <s v="46.3M"/>
    <x v="2"/>
    <s v="2.1M"/>
    <s v="2.9M"/>
    <x v="9"/>
    <n v="2100000"/>
    <n v="2900000"/>
    <n v="4.5356371490280781E-2"/>
  </r>
  <r>
    <s v="mileycyrus"/>
    <n v="47"/>
    <x v="3"/>
    <s v="178.2M"/>
    <x v="2"/>
    <s v="557.8K"/>
    <s v="757.2K"/>
    <x v="44"/>
    <n v="557800"/>
    <n v="757200"/>
    <n v="3.1301907968574634E-3"/>
  </r>
  <r>
    <s v="eunwo.o_c"/>
    <n v="48"/>
    <x v="7"/>
    <s v="29.2M"/>
    <x v="4"/>
    <s v="3.6M"/>
    <s v="4.5M"/>
    <x v="45"/>
    <n v="3600000"/>
    <n v="4500000"/>
    <n v="0.12328767123287671"/>
  </r>
  <r>
    <s v="travisscott"/>
    <n v="49"/>
    <x v="3"/>
    <s v="45.8M"/>
    <x v="2"/>
    <s v="1.7M"/>
    <s v="2.5M"/>
    <x v="46"/>
    <n v="1700000"/>
    <n v="2500000"/>
    <n v="3.7117903930131008E-2"/>
  </r>
  <r>
    <s v="ester_exposito"/>
    <n v="50"/>
    <x v="8"/>
    <s v="29.4M"/>
    <x v="7"/>
    <s v="2.6M"/>
    <s v="3.8M"/>
    <x v="47"/>
    <n v="2600000"/>
    <n v="3800000"/>
    <n v="8.8435374149659865E-2"/>
  </r>
  <r>
    <s v="robertdowneyjr"/>
    <n v="51"/>
    <x v="8"/>
    <s v="53.2M"/>
    <x v="0"/>
    <s v="1.6M"/>
    <s v="2M"/>
    <x v="35"/>
    <n v="1600000"/>
    <n v="2000000"/>
    <n v="3.007518796992481E-2"/>
  </r>
  <r>
    <s v="dlwlrma"/>
    <n v="52"/>
    <x v="20"/>
    <s v="27M"/>
    <x v="5"/>
    <s v="3M"/>
    <s v="3.5M"/>
    <x v="48"/>
    <n v="3000000"/>
    <n v="3500000"/>
    <n v="0.1111111111111111"/>
  </r>
  <r>
    <s v="actorleeminho"/>
    <n v="53"/>
    <x v="8"/>
    <s v="30.1M"/>
    <x v="4"/>
    <s v="2.4M"/>
    <s v="3.1M"/>
    <x v="49"/>
    <n v="2400000"/>
    <n v="3100000"/>
    <n v="7.9734219269102985E-2"/>
  </r>
  <r>
    <s v="narendramodi"/>
    <n v="54"/>
    <x v="21"/>
    <s v="68.2M"/>
    <x v="0"/>
    <s v="1.2M"/>
    <s v="1.3M"/>
    <x v="11"/>
    <n v="1200000"/>
    <n v="1300000"/>
    <n v="1.7595307917888565E-2"/>
  </r>
  <r>
    <s v="shawnmendes"/>
    <n v="55"/>
    <x v="3"/>
    <s v="69.4M"/>
    <x v="3"/>
    <s v="838K"/>
    <s v="1.2M"/>
    <x v="50"/>
    <n v="838000"/>
    <n v="1200000"/>
    <n v="1.207492795389049E-2"/>
  </r>
  <r>
    <s v="k.mbappe"/>
    <n v="56"/>
    <x v="0"/>
    <s v="72.4M"/>
    <x v="8"/>
    <s v="806.5K"/>
    <s v="1.1M"/>
    <x v="51"/>
    <n v="806500"/>
    <n v="1100000"/>
    <n v="1.1139502762430939E-2"/>
  </r>
  <r>
    <s v="johnnydepp"/>
    <n v="57"/>
    <x v="22"/>
    <s v="26.6M"/>
    <x v="0"/>
    <s v="2.4M"/>
    <s v="3.1M"/>
    <x v="52"/>
    <n v="2400000"/>
    <n v="3100000"/>
    <n v="9.0225563909774431E-2"/>
  </r>
  <r>
    <s v="aliaabhatt"/>
    <n v="58"/>
    <x v="8"/>
    <s v="67.2M"/>
    <x v="0"/>
    <s v="979.6K"/>
    <s v="1.2M"/>
    <x v="53"/>
    <n v="979600"/>
    <n v="1200000"/>
    <n v="1.4577380952380953E-2"/>
  </r>
  <r>
    <s v="oliviarodrigo"/>
    <n v="59"/>
    <x v="16"/>
    <s v="27.1M"/>
    <x v="0"/>
    <s v="2.3M"/>
    <s v="2.9M"/>
    <x v="54"/>
    <n v="2300000"/>
    <n v="2900000"/>
    <n v="8.4870848708487087E-2"/>
  </r>
  <r>
    <s v="anushkasharma"/>
    <n v="60"/>
    <x v="8"/>
    <s v="59.3M"/>
    <x v="0"/>
    <s v="1.2M"/>
    <s v="1.3M"/>
    <x v="55"/>
    <n v="1200000"/>
    <n v="1300000"/>
    <n v="2.0236087689713321E-2"/>
  </r>
  <r>
    <s v="dualipa"/>
    <n v="61"/>
    <x v="3"/>
    <s v="85.1M"/>
    <x v="6"/>
    <s v="729.1K"/>
    <s v="879.1K"/>
    <x v="56"/>
    <n v="729100"/>
    <n v="879100"/>
    <n v="8.5675675675675675E-3"/>
  </r>
  <r>
    <s v="dovecameron"/>
    <n v="62"/>
    <x v="8"/>
    <s v="48.1M"/>
    <x v="2"/>
    <s v="1.2M"/>
    <s v="1.5M"/>
    <x v="57"/>
    <n v="1200000"/>
    <n v="1500000"/>
    <n v="2.4948024948024949E-2"/>
  </r>
  <r>
    <s v="camila_cabello"/>
    <n v="63"/>
    <x v="3"/>
    <s v="64.4M"/>
    <x v="3"/>
    <s v="845.4K"/>
    <s v="1.1M"/>
    <x v="58"/>
    <n v="845400"/>
    <n v="1100000"/>
    <n v="1.3127329192546583E-2"/>
  </r>
  <r>
    <s v="noahschnapp"/>
    <n v="64"/>
    <x v="8"/>
    <s v="24.7M"/>
    <x v="3"/>
    <s v="2.3M"/>
    <s v="2.9M"/>
    <x v="59"/>
    <n v="2300000"/>
    <n v="2900000"/>
    <n v="9.3117408906882596E-2"/>
  </r>
  <r>
    <s v="danbilzerian"/>
    <n v="65"/>
    <x v="8"/>
    <s v="32.9M"/>
    <x v="0"/>
    <s v="1.3M"/>
    <s v="2.2M"/>
    <x v="60"/>
    <n v="1300000"/>
    <n v="2200000"/>
    <n v="3.9513677811550151E-2"/>
  </r>
  <r>
    <s v="charlidamelio"/>
    <n v="66"/>
    <x v="23"/>
    <s v="48.9M"/>
    <x v="2"/>
    <s v="1.2M"/>
    <s v="1.4M"/>
    <x v="61"/>
    <n v="1200000"/>
    <n v="1400000"/>
    <n v="2.4539877300613498E-2"/>
  </r>
  <r>
    <s v="dojacat"/>
    <n v="67"/>
    <x v="3"/>
    <s v="24.2M"/>
    <x v="2"/>
    <s v="2M"/>
    <s v="2.7M"/>
    <x v="62"/>
    <n v="2000000"/>
    <n v="2700000"/>
    <n v="8.2644628099173556E-2"/>
  </r>
  <r>
    <s v="chrishemsworth"/>
    <n v="68"/>
    <x v="8"/>
    <s v="55.1M"/>
    <x v="0"/>
    <s v="869.2K"/>
    <s v="1.1M"/>
    <x v="63"/>
    <n v="869200"/>
    <n v="1100000"/>
    <n v="1.5774954627949183E-2"/>
  </r>
  <r>
    <s v="kimberly.loaiza"/>
    <n v="69"/>
    <x v="11"/>
    <s v="35.2M"/>
    <x v="6"/>
    <s v="1.4M"/>
    <s v="1.7M"/>
    <x v="64"/>
    <n v="1400000"/>
    <n v="1700000"/>
    <n v="3.9772727272727272E-2"/>
  </r>
  <r>
    <s v="lelepons"/>
    <n v="70"/>
    <x v="3"/>
    <s v="49M"/>
    <x v="6"/>
    <s v="763.5K"/>
    <s v="1.2M"/>
    <x v="65"/>
    <n v="763500"/>
    <n v="1200000"/>
    <n v="1.5581632653061225E-2"/>
  </r>
  <r>
    <s v="iamzlatanibrahimovic"/>
    <n v="71"/>
    <x v="0"/>
    <s v="54.6M"/>
    <x v="9"/>
    <s v="682.1K"/>
    <s v="1.1M"/>
    <x v="66"/>
    <n v="682100"/>
    <n v="1100000"/>
    <n v="1.2492673992673993E-2"/>
  </r>
  <r>
    <s v="mosalah"/>
    <n v="72"/>
    <x v="0"/>
    <s v="51.9M"/>
    <x v="10"/>
    <s v="753.4K"/>
    <s v="1.1M"/>
    <x v="67"/>
    <n v="753400"/>
    <n v="1100000"/>
    <n v="1.4516377649325627E-2"/>
  </r>
  <r>
    <s v="bn_sj2013"/>
    <n v="73"/>
    <x v="24"/>
    <s v="22.2M"/>
    <x v="4"/>
    <s v="2.1M"/>
    <s v="2.5M"/>
    <x v="68"/>
    <n v="2100000"/>
    <n v="2500000"/>
    <n v="9.45945945945946E-2"/>
  </r>
  <r>
    <s v="jongsuk0206"/>
    <n v="74"/>
    <x v="8"/>
    <s v="23M"/>
    <x v="4"/>
    <s v="1.8M"/>
    <s v="2.4M"/>
    <x v="69"/>
    <n v="1800000"/>
    <n v="2400000"/>
    <n v="7.8260869565217397E-2"/>
  </r>
  <r>
    <s v="handemiyy"/>
    <n v="75"/>
    <x v="8"/>
    <s v="28.5M"/>
    <x v="11"/>
    <s v="1.4M"/>
    <s v="1.9M"/>
    <x v="70"/>
    <n v="1400000"/>
    <n v="1900000"/>
    <n v="4.912280701754386E-2"/>
  </r>
  <r>
    <s v="niallhoran"/>
    <n v="76"/>
    <x v="3"/>
    <s v="30.2M"/>
    <x v="2"/>
    <s v="1.2M"/>
    <s v="1.8M"/>
    <x v="71"/>
    <n v="1200000"/>
    <n v="1800000"/>
    <n v="3.9735099337748346E-2"/>
  </r>
  <r>
    <s v="paulodybala"/>
    <n v="77"/>
    <x v="0"/>
    <s v="47.7M"/>
    <x v="1"/>
    <s v="684.3K"/>
    <s v="1.1M"/>
    <x v="72"/>
    <n v="684300"/>
    <n v="1100000"/>
    <n v="1.4345911949685534E-2"/>
  </r>
  <r>
    <s v="gal_gadot"/>
    <n v="78"/>
    <x v="8"/>
    <s v="83.8M"/>
    <x v="2"/>
    <s v="468.3K"/>
    <s v="605.9K"/>
    <x v="73"/>
    <n v="468300"/>
    <n v="605900"/>
    <n v="5.5883054892601428E-3"/>
  </r>
  <r>
    <s v="oohsehun"/>
    <n v="79"/>
    <x v="3"/>
    <s v="23.3M"/>
    <x v="4"/>
    <s v="1.7M"/>
    <s v="2.1M"/>
    <x v="74"/>
    <n v="1700000"/>
    <n v="2100000"/>
    <n v="7.2961373390557943E-2"/>
  </r>
  <r>
    <s v="realmadrid"/>
    <n v="80"/>
    <x v="0"/>
    <s v="121.8M"/>
    <x v="12"/>
    <s v="289.5K"/>
    <s v="396.5K"/>
    <x v="75"/>
    <n v="289500"/>
    <n v="396500"/>
    <n v="2.3768472906403942E-3"/>
  </r>
  <r>
    <s v="sadiesink_"/>
    <n v="81"/>
    <x v="25"/>
    <s v="21.6M"/>
    <x v="3"/>
    <s v="1.5M"/>
    <s v="2.2M"/>
    <x v="76"/>
    <n v="1500000"/>
    <n v="2200000"/>
    <n v="6.9444444444444448E-2"/>
  </r>
  <r>
    <s v="lilireinhart"/>
    <n v="82"/>
    <x v="8"/>
    <s v="29M"/>
    <x v="3"/>
    <s v="1.1M"/>
    <s v="1.6M"/>
    <x v="77"/>
    <n v="1100000"/>
    <n v="1600000"/>
    <n v="3.793103448275862E-2"/>
  </r>
  <r>
    <s v="chrisbrownofficial"/>
    <n v="83"/>
    <x v="3"/>
    <s v="115.1M"/>
    <x v="2"/>
    <s v="267K"/>
    <s v="414.5K"/>
    <x v="78"/>
    <n v="267000"/>
    <n v="414500"/>
    <n v="2.3197219808861859E-3"/>
  </r>
  <r>
    <s v="fcbarcelona"/>
    <n v="84"/>
    <x v="0"/>
    <s v="110M"/>
    <x v="4"/>
    <s v="281.6K"/>
    <s v="424.1K"/>
    <x v="79"/>
    <n v="281600"/>
    <n v="424100"/>
    <n v="2.5600000000000002E-3"/>
  </r>
  <r>
    <s v="iamsrk"/>
    <n v="85"/>
    <x v="8"/>
    <s v="30M"/>
    <x v="0"/>
    <s v="1.2M"/>
    <s v="1.6M"/>
    <x v="80"/>
    <n v="1200000"/>
    <n v="1600000"/>
    <n v="0.04"/>
  </r>
  <r>
    <s v="ddlovato"/>
    <n v="86"/>
    <x v="3"/>
    <s v="136.3M"/>
    <x v="2"/>
    <s v="264.5K"/>
    <s v="338.1K"/>
    <x v="81"/>
    <n v="264500"/>
    <n v="338100"/>
    <n v="1.9405722670579604E-3"/>
  </r>
  <r>
    <s v="rashmika_mandanna"/>
    <n v="87"/>
    <x v="26"/>
    <s v="32.3M"/>
    <x v="0"/>
    <s v="1.2M"/>
    <s v="1.4M"/>
    <x v="82"/>
    <n v="1200000"/>
    <n v="1400000"/>
    <n v="3.7151702786377715E-2"/>
  </r>
  <r>
    <s v="dishapatani"/>
    <n v="88"/>
    <x v="27"/>
    <s v="52.1M"/>
    <x v="0"/>
    <s v="696K"/>
    <s v="855.2K"/>
    <x v="83"/>
    <n v="696000"/>
    <n v="855200"/>
    <n v="1.3358925143953935E-2"/>
  </r>
  <r>
    <s v="songkang_b"/>
    <n v="89"/>
    <x v="28"/>
    <s v="14.4M"/>
    <x v="6"/>
    <s v="2.2M"/>
    <s v="3.1M"/>
    <x v="84"/>
    <n v="2200000"/>
    <n v="3100000"/>
    <n v="0.15277777777777779"/>
  </r>
  <r>
    <s v="bellahadid"/>
    <n v="90"/>
    <x v="29"/>
    <s v="53.2M"/>
    <x v="2"/>
    <s v="499.7K"/>
    <s v="798.4K"/>
    <x v="35"/>
    <n v="499700"/>
    <n v="798400"/>
    <n v="9.392857142857142E-3"/>
  </r>
  <r>
    <s v="jacksonwang852g7"/>
    <n v="91"/>
    <x v="3"/>
    <s v="28.9M"/>
    <x v="13"/>
    <s v="1.2M"/>
    <s v="1.5M"/>
    <x v="85"/>
    <n v="1200000"/>
    <n v="1500000"/>
    <n v="4.1522491349480967E-2"/>
  </r>
  <r>
    <s v="deepikapadukone"/>
    <n v="92"/>
    <x v="8"/>
    <s v="67.8M"/>
    <x v="0"/>
    <s v="468.7K"/>
    <s v="611K"/>
    <x v="86"/>
    <n v="468700"/>
    <n v="611000"/>
    <n v="6.9129793510324484E-3"/>
  </r>
  <r>
    <s v="dannapaola"/>
    <n v="93"/>
    <x v="3"/>
    <s v="34.5M"/>
    <x v="6"/>
    <s v="828.3K"/>
    <s v="1.2M"/>
    <x v="87"/>
    <n v="828300"/>
    <n v="1200000"/>
    <n v="2.4008695652173912E-2"/>
  </r>
  <r>
    <s v="blackpinkofficial"/>
    <n v="94"/>
    <x v="3"/>
    <s v="47.7M"/>
    <x v="4"/>
    <s v="700.1K"/>
    <s v="853K"/>
    <x v="72"/>
    <n v="700100"/>
    <n v="853000"/>
    <n v="1.4677148846960168E-2"/>
  </r>
  <r>
    <s v="haileybieber"/>
    <n v="95"/>
    <x v="30"/>
    <s v="45.9M"/>
    <x v="2"/>
    <s v="655.9K"/>
    <s v="880.4K"/>
    <x v="88"/>
    <n v="655900"/>
    <n v="880400"/>
    <n v="1.4289760348583877E-2"/>
  </r>
  <r>
    <s v="karimbenzema"/>
    <n v="96"/>
    <x v="0"/>
    <s v="55.9M"/>
    <x v="8"/>
    <s v="502.4K"/>
    <s v="724K"/>
    <x v="89"/>
    <n v="502400"/>
    <n v="724000"/>
    <n v="8.9874776386404294E-3"/>
  </r>
  <r>
    <s v="zacefron"/>
    <n v="97"/>
    <x v="8"/>
    <s v="53.9M"/>
    <x v="2"/>
    <s v="514.9K"/>
    <s v="747.1K"/>
    <x v="90"/>
    <n v="514900"/>
    <n v="747100"/>
    <n v="9.5528756957328383E-3"/>
  </r>
  <r>
    <s v="antonelaroccuzzo"/>
    <n v="98"/>
    <x v="31"/>
    <s v="20M"/>
    <x v="1"/>
    <s v="1.2M"/>
    <s v="2M"/>
    <x v="91"/>
    <n v="1200000"/>
    <n v="2000000"/>
    <n v="0.06"/>
  </r>
  <r>
    <s v="realstraykids"/>
    <n v="99"/>
    <x v="3"/>
    <s v="21.9M"/>
    <x v="4"/>
    <s v="1.5M"/>
    <s v="1.8M"/>
    <x v="92"/>
    <n v="1500000"/>
    <n v="1800000"/>
    <n v="6.8493150684931503E-2"/>
  </r>
  <r>
    <s v="nasa"/>
    <n v="100"/>
    <x v="32"/>
    <s v="78.6M"/>
    <x v="0"/>
    <s v="412.2K"/>
    <s v="496.7K"/>
    <x v="22"/>
    <n v="412200"/>
    <n v="496700"/>
    <n v="5.2442748091603058E-3"/>
  </r>
  <r>
    <s v="yawnzzn"/>
    <n v="102"/>
    <x v="3"/>
    <s v="9.6M"/>
    <x v="0"/>
    <s v="3.2M"/>
    <s v="4.1M"/>
    <x v="93"/>
    <n v="3200000"/>
    <n v="4099999.9999999995"/>
    <n v="0.33333333333333331"/>
  </r>
  <r>
    <s v="chrisevans"/>
    <n v="103"/>
    <x v="8"/>
    <s v="17M"/>
    <x v="2"/>
    <s v="1.9M"/>
    <s v="2.3M"/>
    <x v="94"/>
    <n v="1900000"/>
    <n v="2300000"/>
    <n v="0.11176470588235295"/>
  </r>
  <r>
    <s v="twicetagram"/>
    <n v="104"/>
    <x v="33"/>
    <s v="26.1M"/>
    <x v="4"/>
    <s v="1.2M"/>
    <s v="1.5M"/>
    <x v="95"/>
    <n v="1200000"/>
    <n v="1500000"/>
    <n v="4.5977011494252873E-2"/>
  </r>
  <r>
    <s v="priyankachopra"/>
    <n v="105"/>
    <x v="8"/>
    <s v="80.2M"/>
    <x v="0"/>
    <s v="390.3K"/>
    <s v="471.9K"/>
    <x v="96"/>
    <n v="390300"/>
    <n v="471900"/>
    <n v="4.8665835411471322E-3"/>
  </r>
  <r>
    <s v="ursulolita"/>
    <n v="106"/>
    <x v="34"/>
    <s v="24.1M"/>
    <x v="3"/>
    <s v="1.1M"/>
    <s v="1.6M"/>
    <x v="97"/>
    <n v="1100000"/>
    <n v="1600000"/>
    <n v="4.5643153526970952E-2"/>
  </r>
  <r>
    <s v="jenniferaniston"/>
    <n v="107"/>
    <x v="8"/>
    <s v="40.7M"/>
    <x v="3"/>
    <s v="628K"/>
    <s v="911.9K"/>
    <x v="98"/>
    <n v="628000"/>
    <n v="911900"/>
    <n v="1.5429975429975431E-2"/>
  </r>
  <r>
    <s v="hi_high_hiy"/>
    <n v="108"/>
    <x v="8"/>
    <s v="14.3M"/>
    <x v="5"/>
    <s v="2.2M"/>
    <s v="2.6M"/>
    <x v="99"/>
    <n v="2200000"/>
    <n v="2600000"/>
    <n v="0.15384615384615385"/>
  </r>
  <r>
    <s v="addisonraee"/>
    <n v="109"/>
    <x v="19"/>
    <s v="40.4M"/>
    <x v="2"/>
    <s v="579.2K"/>
    <s v="892.3K"/>
    <x v="100"/>
    <n v="579200"/>
    <n v="892300"/>
    <n v="1.4336633663366337E-2"/>
  </r>
  <r>
    <s v="nike"/>
    <n v="110"/>
    <x v="35"/>
    <s v="227.6M"/>
    <x v="2"/>
    <s v="123.5K"/>
    <s v="158.4K"/>
    <x v="101"/>
    <n v="123500"/>
    <n v="158400"/>
    <n v="5.4261862917398941E-4"/>
  </r>
  <r>
    <s v="finnwolfhardofficial"/>
    <n v="111"/>
    <x v="16"/>
    <s v="24.6M"/>
    <x v="3"/>
    <s v="1.1M"/>
    <s v="1.4M"/>
    <x v="102"/>
    <n v="1100000"/>
    <n v="1400000"/>
    <n v="4.4715447154471545E-2"/>
  </r>
  <r>
    <s v="samantharuthprabhuoffl"/>
    <n v="112"/>
    <x v="36"/>
    <s v="24.2M"/>
    <x v="0"/>
    <s v="1.2M"/>
    <s v="1.4M"/>
    <x v="62"/>
    <n v="1200000"/>
    <n v="1400000"/>
    <n v="4.9586776859504134E-2"/>
  </r>
  <r>
    <s v="madelame"/>
    <n v="113"/>
    <x v="8"/>
    <s v="25.4M"/>
    <x v="7"/>
    <s v="965.6K"/>
    <s v="1.4M"/>
    <x v="103"/>
    <n v="965600"/>
    <n v="1400000"/>
    <n v="3.8015748031496065E-2"/>
  </r>
  <r>
    <s v="miakhalifa"/>
    <n v="114"/>
    <x v="37"/>
    <s v="27.8M"/>
    <x v="0"/>
    <s v="769.7K"/>
    <s v="1.2M"/>
    <x v="104"/>
    <n v="769700"/>
    <n v="1200000"/>
    <n v="2.768705035971223E-2"/>
  </r>
  <r>
    <s v="jannatzubair29"/>
    <n v="115"/>
    <x v="8"/>
    <s v="43.3M"/>
    <x v="0"/>
    <s v="635.3K"/>
    <s v="772.1K"/>
    <x v="105"/>
    <n v="635300"/>
    <n v="772100"/>
    <n v="1.4672055427251732E-2"/>
  </r>
  <r>
    <s v="katyperry"/>
    <n v="116"/>
    <x v="3"/>
    <s v="167.2M"/>
    <x v="3"/>
    <s v="156.3K"/>
    <s v="200.4K"/>
    <x v="106"/>
    <n v="156300"/>
    <n v="200400"/>
    <n v="9.3480861244019141E-4"/>
  </r>
  <r>
    <s v="meganfox"/>
    <n v="117"/>
    <x v="8"/>
    <s v="20.4M"/>
    <x v="2"/>
    <s v="973.9K"/>
    <s v="1.6M"/>
    <x v="107"/>
    <n v="973900"/>
    <n v="1600000"/>
    <n v="4.7740196078431371E-2"/>
  </r>
  <r>
    <s v="vindiesel"/>
    <n v="118"/>
    <x v="8"/>
    <s v="81.7M"/>
    <x v="3"/>
    <s v="309.8K"/>
    <s v="403.9K"/>
    <x v="108"/>
    <n v="309800"/>
    <n v="403900"/>
    <n v="3.7919216646266829E-3"/>
  </r>
  <r>
    <s v="kapilsharma"/>
    <n v="119"/>
    <x v="38"/>
    <s v="42M"/>
    <x v="0"/>
    <s v="683.8K"/>
    <s v="780.7K"/>
    <x v="109"/>
    <n v="683800"/>
    <n v="780700"/>
    <n v="1.6280952380952382E-2"/>
  </r>
  <r>
    <s v="camimendes"/>
    <n v="120"/>
    <x v="8"/>
    <s v="27.1M"/>
    <x v="3"/>
    <s v="861.5K"/>
    <s v="1.2M"/>
    <x v="54"/>
    <n v="861500"/>
    <n v="1200000"/>
    <n v="3.1789667896678968E-2"/>
  </r>
  <r>
    <s v="akshaykumar"/>
    <n v="121"/>
    <x v="8"/>
    <s v="62.6M"/>
    <x v="0"/>
    <s v="428.1K"/>
    <s v="511.5K"/>
    <x v="110"/>
    <n v="428100"/>
    <n v="511500"/>
    <n v="6.8386581469648561E-3"/>
  </r>
  <r>
    <s v="tyga"/>
    <n v="122"/>
    <x v="3"/>
    <s v="35.4M"/>
    <x v="2"/>
    <s v="604.1K"/>
    <s v="904.1K"/>
    <x v="111"/>
    <n v="604100"/>
    <n v="904100"/>
    <n v="1.7064971751412431E-2"/>
  </r>
  <r>
    <s v="_jeongjaehyun"/>
    <n v="123"/>
    <x v="3"/>
    <s v="12.1M"/>
    <x v="4"/>
    <s v="2.1M"/>
    <s v="2.7M"/>
    <x v="112"/>
    <n v="2100000"/>
    <n v="2700000"/>
    <n v="0.17355371900826447"/>
  </r>
  <r>
    <s v="ladygaga"/>
    <n v="124"/>
    <x v="16"/>
    <s v="53.1M"/>
    <x v="2"/>
    <s v="426.5K"/>
    <s v="598.8K"/>
    <x v="113"/>
    <n v="426500"/>
    <n v="598800"/>
    <n v="8.0320150659133702E-3"/>
  </r>
  <r>
    <s v="kritisanon"/>
    <n v="125"/>
    <x v="29"/>
    <s v="49.7M"/>
    <x v="0"/>
    <s v="538.6K"/>
    <s v="626.9K"/>
    <x v="114"/>
    <n v="538600"/>
    <n v="626900"/>
    <n v="1.083702213279678E-2"/>
  </r>
  <r>
    <s v="hoooooyeony"/>
    <n v="126"/>
    <x v="9"/>
    <s v="23.4M"/>
    <x v="5"/>
    <s v="1M"/>
    <s v="1.3M"/>
    <x v="115"/>
    <n v="1000000"/>
    <n v="1300000"/>
    <n v="4.2735042735042736E-2"/>
  </r>
  <r>
    <s v="mrbeast"/>
    <n v="127"/>
    <x v="39"/>
    <s v="19M"/>
    <x v="2"/>
    <s v="1.2M"/>
    <s v="1.6M"/>
    <x v="116"/>
    <n v="1200000"/>
    <n v="1600000"/>
    <n v="6.3157894736842107E-2"/>
  </r>
  <r>
    <s v="rosalia.vt"/>
    <n v="128"/>
    <x v="3"/>
    <s v="20.9M"/>
    <x v="12"/>
    <s v="1.1M"/>
    <s v="1.5M"/>
    <x v="117"/>
    <n v="1100000"/>
    <n v="1500000"/>
    <n v="5.2631578947368418E-2"/>
  </r>
  <r>
    <s v="shakira"/>
    <n v="129"/>
    <x v="3"/>
    <s v="75.6M"/>
    <x v="0"/>
    <s v="294K"/>
    <s v="400.3K"/>
    <x v="118"/>
    <n v="294000"/>
    <n v="400300"/>
    <n v="3.8888888888888888E-3"/>
  </r>
  <r>
    <s v="pewdiepie"/>
    <n v="130"/>
    <x v="40"/>
    <s v="21.9M"/>
    <x v="2"/>
    <s v="1.1M"/>
    <s v="1.4M"/>
    <x v="92"/>
    <n v="1100000"/>
    <n v="1400000"/>
    <n v="5.0228310502283102E-2"/>
  </r>
  <r>
    <s v="hrithikroshan"/>
    <n v="131"/>
    <x v="8"/>
    <s v="43.5M"/>
    <x v="0"/>
    <s v="540.9K"/>
    <s v="684K"/>
    <x v="119"/>
    <n v="540900"/>
    <n v="684000"/>
    <n v="1.2434482758620689E-2"/>
  </r>
  <r>
    <s v="madelyncline"/>
    <n v="132"/>
    <x v="8"/>
    <s v="12.6M"/>
    <x v="2"/>
    <s v="1.6M"/>
    <s v="2.4M"/>
    <x v="120"/>
    <n v="1600000"/>
    <n v="2400000"/>
    <n v="0.12698412698412698"/>
  </r>
  <r>
    <s v="hazardeden_10"/>
    <n v="133"/>
    <x v="0"/>
    <s v="27M"/>
    <x v="12"/>
    <s v="680.8K"/>
    <s v="1.1M"/>
    <x v="48"/>
    <n v="680800"/>
    <n v="1100000"/>
    <n v="2.5214814814814815E-2"/>
  </r>
  <r>
    <s v="shraddhakapoor"/>
    <n v="134"/>
    <x v="8"/>
    <s v="73.4M"/>
    <x v="0"/>
    <s v="349K"/>
    <s v="403.7K"/>
    <x v="121"/>
    <n v="349000"/>
    <n v="403700"/>
    <n v="4.7547683923705722E-3"/>
  </r>
  <r>
    <s v="vinijr"/>
    <n v="135"/>
    <x v="0"/>
    <s v="21.3M"/>
    <x v="3"/>
    <s v="806.7K"/>
    <s v="1.4M"/>
    <x v="122"/>
    <n v="806700"/>
    <n v="1400000"/>
    <n v="3.7873239436619716E-2"/>
  </r>
  <r>
    <s v="emrata"/>
    <n v="136"/>
    <x v="29"/>
    <s v="29.5M"/>
    <x v="2"/>
    <s v="606.1K"/>
    <s v="967.7K"/>
    <x v="123"/>
    <n v="606100"/>
    <n v="967700"/>
    <n v="2.0545762711864406E-2"/>
  </r>
  <r>
    <s v="lanarhoades"/>
    <n v="137"/>
    <x v="30"/>
    <s v="16.8M"/>
    <x v="2"/>
    <s v="1M"/>
    <s v="1.7M"/>
    <x v="124"/>
    <n v="1000000"/>
    <n v="1700000"/>
    <n v="5.9523809523809521E-2"/>
  </r>
  <r>
    <s v="britneyspears"/>
    <n v="138"/>
    <x v="3"/>
    <s v="41.6M"/>
    <x v="2"/>
    <s v="494.6K"/>
    <s v="685.6K"/>
    <x v="125"/>
    <n v="494600"/>
    <n v="685600"/>
    <n v="1.1889423076923077E-2"/>
  </r>
  <r>
    <s v="maluma"/>
    <n v="139"/>
    <x v="3"/>
    <s v="62.7M"/>
    <x v="9"/>
    <s v="294.2K"/>
    <s v="452.1K"/>
    <x v="126"/>
    <n v="294200"/>
    <n v="452100"/>
    <n v="4.6921850079744819E-3"/>
  </r>
  <r>
    <s v="beingsalmankhan"/>
    <n v="140"/>
    <x v="41"/>
    <s v="53M"/>
    <x v="0"/>
    <s v="417.3K"/>
    <s v="534.9K"/>
    <x v="127"/>
    <n v="417300"/>
    <n v="534900"/>
    <n v="7.8735849056603777E-3"/>
  </r>
  <r>
    <s v="luisitocomunica"/>
    <n v="141"/>
    <x v="42"/>
    <s v="32.3M"/>
    <x v="6"/>
    <s v="643.5K"/>
    <s v="852.1K"/>
    <x v="82"/>
    <n v="643500"/>
    <n v="852100"/>
    <n v="1.9922600619195048E-2"/>
  </r>
  <r>
    <s v="natgeo"/>
    <n v="142"/>
    <x v="43"/>
    <s v="232.2M"/>
    <x v="2"/>
    <s v="91.4K"/>
    <s v="117.8K"/>
    <x v="128"/>
    <n v="91400"/>
    <n v="117800"/>
    <n v="3.9362618432385875E-4"/>
  </r>
  <r>
    <s v="madisonbeer"/>
    <n v="143"/>
    <x v="3"/>
    <s v="31.8M"/>
    <x v="2"/>
    <s v="571.3K"/>
    <s v="852.4K"/>
    <x v="129"/>
    <n v="571300"/>
    <n v="852400"/>
    <n v="1.7965408805031446E-2"/>
  </r>
  <r>
    <s v="jacquelinef143"/>
    <n v="144"/>
    <x v="8"/>
    <s v="62.2M"/>
    <x v="0"/>
    <s v="347.8K"/>
    <s v="424.3K"/>
    <x v="130"/>
    <n v="347800"/>
    <n v="424300"/>
    <n v="5.5916398713826369E-3"/>
  </r>
  <r>
    <s v="garethbale11"/>
    <n v="145"/>
    <x v="0"/>
    <s v="47.8M"/>
    <x v="12"/>
    <s v="342.3K"/>
    <s v="538.6K"/>
    <x v="131"/>
    <n v="342300"/>
    <n v="538600"/>
    <n v="7.1610878661087863E-3"/>
  </r>
  <r>
    <s v="norafatehi"/>
    <n v="146"/>
    <x v="44"/>
    <s v="41.2M"/>
    <x v="0"/>
    <s v="507K"/>
    <s v="625.7K"/>
    <x v="132"/>
    <n v="507000"/>
    <n v="625700"/>
    <n v="1.2305825242718447E-2"/>
  </r>
  <r>
    <s v="sabrinacarpenter"/>
    <n v="147"/>
    <x v="3"/>
    <s v="27.4M"/>
    <x v="3"/>
    <s v="756.6K"/>
    <s v="928.8K"/>
    <x v="133"/>
    <n v="756600"/>
    <n v="928800"/>
    <n v="2.7613138686131387E-2"/>
  </r>
  <r>
    <s v="marcelotwelve"/>
    <n v="148"/>
    <x v="0"/>
    <s v="57.2M"/>
    <x v="12"/>
    <s v="300.9K"/>
    <s v="446.2K"/>
    <x v="134"/>
    <n v="300900"/>
    <n v="446200"/>
    <n v="5.2604895104895102E-3"/>
  </r>
  <r>
    <s v="rohittt_09_"/>
    <n v="149"/>
    <x v="45"/>
    <s v="23.6M"/>
    <x v="0"/>
    <s v="753.1K"/>
    <s v="1.1M"/>
    <x v="135"/>
    <n v="753100"/>
    <n v="1100000"/>
    <n v="3.1911016949152542E-2"/>
  </r>
  <r>
    <s v="jasonstatham"/>
    <n v="150"/>
    <x v="8"/>
    <s v="30.7M"/>
    <x v="14"/>
    <s v="549.9K"/>
    <s v="811.9K"/>
    <x v="136"/>
    <n v="549900"/>
    <n v="811900"/>
    <n v="1.7912052117263842E-2"/>
  </r>
  <r>
    <s v="thedeverakonda"/>
    <n v="151"/>
    <x v="8"/>
    <s v="16M"/>
    <x v="0"/>
    <s v="1.3M"/>
    <s v="1.6M"/>
    <x v="137"/>
    <n v="1300000"/>
    <n v="1600000"/>
    <n v="8.1250000000000003E-2"/>
  </r>
  <r>
    <s v="theestallion"/>
    <n v="152"/>
    <x v="3"/>
    <s v="29.1M"/>
    <x v="2"/>
    <s v="486.6K"/>
    <s v="850.2K"/>
    <x v="138"/>
    <n v="486600"/>
    <n v="850200"/>
    <n v="1.6721649484536083E-2"/>
  </r>
  <r>
    <s v="theweeknd"/>
    <n v="153"/>
    <x v="3"/>
    <s v="40.3M"/>
    <x v="2"/>
    <s v="446.6K"/>
    <s v="607K"/>
    <x v="139"/>
    <n v="446600"/>
    <n v="607000"/>
    <n v="1.1081885856079405E-2"/>
  </r>
  <r>
    <s v="shahidkapoor"/>
    <n v="154"/>
    <x v="8"/>
    <s v="35.3M"/>
    <x v="0"/>
    <s v="608.7K"/>
    <s v="688.5K"/>
    <x v="140"/>
    <n v="608700"/>
    <n v="688500"/>
    <n v="1.7243626062322947E-2"/>
  </r>
  <r>
    <s v="elrubiuswtf"/>
    <n v="155"/>
    <x v="40"/>
    <s v="17M"/>
    <x v="6"/>
    <s v="1.3M"/>
    <s v="1.4M"/>
    <x v="94"/>
    <n v="1300000"/>
    <n v="1400000"/>
    <n v="7.6470588235294124E-2"/>
  </r>
  <r>
    <s v="annehathaway"/>
    <n v="156"/>
    <x v="8"/>
    <s v="24.4M"/>
    <x v="2"/>
    <s v="737.6K"/>
    <s v="972.3K"/>
    <x v="141"/>
    <n v="737600"/>
    <n v="972300"/>
    <n v="3.0229508196721312E-2"/>
  </r>
  <r>
    <s v="sydney_sweeney"/>
    <n v="157"/>
    <x v="46"/>
    <s v="13.6M"/>
    <x v="2"/>
    <s v="923.9K"/>
    <s v="1.7M"/>
    <x v="142"/>
    <n v="923900"/>
    <n v="1700000"/>
    <n v="6.7933823529411769E-2"/>
  </r>
  <r>
    <s v="erling.haaland"/>
    <n v="158"/>
    <x v="47"/>
    <s v="17.1M"/>
    <x v="3"/>
    <s v="909.8K"/>
    <s v="1.4M"/>
    <x v="143"/>
    <n v="909800"/>
    <n v="1400000"/>
    <n v="5.3204678362573102E-2"/>
  </r>
  <r>
    <s v="lewishamilton"/>
    <n v="159"/>
    <x v="48"/>
    <s v="29M"/>
    <x v="3"/>
    <s v="553.7K"/>
    <s v="793.7K"/>
    <x v="77"/>
    <n v="553700"/>
    <n v="793700"/>
    <n v="1.9093103448275861E-2"/>
  </r>
  <r>
    <s v="hegdepooja"/>
    <n v="160"/>
    <x v="8"/>
    <s v="20.7M"/>
    <x v="0"/>
    <s v="961.1K"/>
    <s v="1.1M"/>
    <x v="144"/>
    <n v="961100"/>
    <n v="1100000"/>
    <n v="4.6429951690821258E-2"/>
  </r>
  <r>
    <s v="luissuarez9"/>
    <n v="161"/>
    <x v="0"/>
    <s v="44.1M"/>
    <x v="3"/>
    <s v="347.4K"/>
    <s v="520.8K"/>
    <x v="145"/>
    <n v="347400"/>
    <n v="520799.99999999994"/>
    <n v="7.877551020408163E-3"/>
  </r>
  <r>
    <s v="championsleague"/>
    <n v="162"/>
    <x v="0"/>
    <s v="95.7M"/>
    <x v="3"/>
    <s v="175.8K"/>
    <s v="237.7K"/>
    <x v="146"/>
    <n v="175800"/>
    <n v="237700"/>
    <n v="1.8369905956112853E-3"/>
  </r>
  <r>
    <n v="433"/>
    <n v="163"/>
    <x v="0"/>
    <s v="50.8M"/>
    <x v="12"/>
    <s v="266.7K"/>
    <s v="441.3K"/>
    <x v="147"/>
    <n v="266700"/>
    <n v="441300"/>
    <n v="5.2500000000000003E-3"/>
  </r>
  <r>
    <s v="eminem"/>
    <n v="164"/>
    <x v="22"/>
    <s v="36.2M"/>
    <x v="14"/>
    <s v="481.3K"/>
    <s v="621.4K"/>
    <x v="148"/>
    <n v="481300"/>
    <n v="621400"/>
    <n v="1.3295580110497238E-2"/>
  </r>
  <r>
    <s v="rohitsharma45"/>
    <n v="165"/>
    <x v="49"/>
    <s v="24.4M"/>
    <x v="0"/>
    <s v="810.3K"/>
    <s v="914.3K"/>
    <x v="141"/>
    <n v="810300"/>
    <n v="914300"/>
    <n v="3.320901639344262E-2"/>
  </r>
  <r>
    <s v="zkdlin"/>
    <n v="166"/>
    <x v="3"/>
    <s v="14.1M"/>
    <x v="4"/>
    <s v="1.3M"/>
    <s v="1.6M"/>
    <x v="149"/>
    <n v="1300000"/>
    <n v="1600000"/>
    <n v="9.2198581560283682E-2"/>
  </r>
  <r>
    <s v="sidhu_moosewala"/>
    <n v="167"/>
    <x v="3"/>
    <s v="10.8M"/>
    <x v="0"/>
    <s v="1.7M"/>
    <s v="2.1M"/>
    <x v="150"/>
    <n v="1700000"/>
    <n v="2100000"/>
    <n v="0.15740740740740741"/>
  </r>
  <r>
    <s v="jichangwook"/>
    <n v="168"/>
    <x v="8"/>
    <s v="20.6M"/>
    <x v="4"/>
    <s v="836.5K"/>
    <s v="1.1M"/>
    <x v="151"/>
    <n v="836500"/>
    <n v="1100000"/>
    <n v="4.0606796116504855E-2"/>
  </r>
  <r>
    <s v="jamesrodriguez10"/>
    <n v="169"/>
    <x v="0"/>
    <s v="49.8M"/>
    <x v="15"/>
    <s v="286.1K"/>
    <s v="436.9K"/>
    <x v="152"/>
    <n v="286100"/>
    <n v="436900"/>
    <n v="5.744979919678715E-3"/>
  </r>
  <r>
    <s v="na.jaemin0813"/>
    <n v="170"/>
    <x v="3"/>
    <s v="9.8M"/>
    <x v="4"/>
    <s v="1.8M"/>
    <s v="2.3M"/>
    <x v="153"/>
    <n v="1800000"/>
    <n v="2300000"/>
    <n v="0.18367346938775511"/>
  </r>
  <r>
    <s v="greeicy"/>
    <n v="171"/>
    <x v="50"/>
    <s v="21.2M"/>
    <x v="15"/>
    <s v="753.5K"/>
    <s v="1M"/>
    <x v="154"/>
    <n v="753500"/>
    <n v="1000000"/>
    <n v="3.5542452830188677E-2"/>
  </r>
  <r>
    <s v="emmachamberlain"/>
    <n v="172"/>
    <x v="23"/>
    <s v="15.9M"/>
    <x v="2"/>
    <s v="873.5K"/>
    <s v="1.3M"/>
    <x v="155"/>
    <n v="873500"/>
    <n v="1300000"/>
    <n v="5.4937106918238991E-2"/>
  </r>
  <r>
    <s v="evaluna"/>
    <n v="173"/>
    <x v="51"/>
    <s v="20.7M"/>
    <x v="1"/>
    <s v="744.1K"/>
    <s v="1M"/>
    <x v="144"/>
    <n v="744100"/>
    <n v="1000000"/>
    <n v="3.5946859903381645E-2"/>
  </r>
  <r>
    <s v="henrycavill"/>
    <n v="174"/>
    <x v="8"/>
    <s v="21.3M"/>
    <x v="3"/>
    <s v="826.5K"/>
    <s v="1M"/>
    <x v="122"/>
    <n v="826500"/>
    <n v="1000000"/>
    <n v="3.8802816901408452E-2"/>
  </r>
  <r>
    <s v="carlinhosmaiaof"/>
    <n v="175"/>
    <x v="9"/>
    <s v="25.8M"/>
    <x v="3"/>
    <s v="457.4K"/>
    <s v="837K"/>
    <x v="156"/>
    <n v="457400"/>
    <n v="837000"/>
    <n v="1.7728682170542635E-2"/>
  </r>
  <r>
    <s v="domelipa"/>
    <n v="176"/>
    <x v="9"/>
    <s v="18.9M"/>
    <x v="6"/>
    <s v="915.5K"/>
    <s v="1.1M"/>
    <x v="157"/>
    <n v="915500"/>
    <n v="1100000"/>
    <n v="4.8439153439153441E-2"/>
  </r>
  <r>
    <s v="saraalikhan95"/>
    <n v="177"/>
    <x v="8"/>
    <s v="40.7M"/>
    <x v="0"/>
    <s v="424.3K"/>
    <s v="518.3K"/>
    <x v="98"/>
    <n v="424300"/>
    <n v="518299.99999999994"/>
    <n v="1.0425061425061425E-2"/>
  </r>
  <r>
    <s v="m10_official"/>
    <n v="178"/>
    <x v="0"/>
    <s v="24.5M"/>
    <x v="11"/>
    <s v="617.1K"/>
    <s v="866.6K"/>
    <x v="158"/>
    <n v="617100"/>
    <n v="866600"/>
    <n v="2.5187755102040816E-2"/>
  </r>
  <r>
    <s v="cznburak"/>
    <n v="179"/>
    <x v="52"/>
    <s v="37M"/>
    <x v="11"/>
    <s v="418.5K"/>
    <s v="566.2K"/>
    <x v="159"/>
    <n v="418500"/>
    <n v="566200"/>
    <n v="1.131081081081081E-2"/>
  </r>
  <r>
    <s v="imhyoseop"/>
    <n v="180"/>
    <x v="9"/>
    <s v="8.5M"/>
    <x v="4"/>
    <s v="2.1M"/>
    <s v="2.5M"/>
    <x v="160"/>
    <n v="2100000"/>
    <n v="2500000"/>
    <n v="0.24705882352941178"/>
  </r>
  <r>
    <s v="vancityreynolds"/>
    <n v="181"/>
    <x v="8"/>
    <s v="44.5M"/>
    <x v="2"/>
    <s v="362.3K"/>
    <s v="467.9K"/>
    <x v="161"/>
    <n v="362300"/>
    <n v="467900"/>
    <n v="8.1415730337078655E-3"/>
  </r>
  <r>
    <s v="stephencurry30"/>
    <n v="182"/>
    <x v="1"/>
    <s v="44.7M"/>
    <x v="2"/>
    <s v="344.3K"/>
    <s v="462.1K"/>
    <x v="162"/>
    <n v="344300"/>
    <n v="462100"/>
    <n v="7.7024608501118572E-3"/>
  </r>
  <r>
    <s v="strangerthingstv"/>
    <n v="183"/>
    <x v="38"/>
    <s v="20.5M"/>
    <x v="3"/>
    <s v="727.5K"/>
    <s v="974K"/>
    <x v="163"/>
    <n v="727500"/>
    <n v="974000"/>
    <n v="3.5487804878048777E-2"/>
  </r>
  <r>
    <s v="justintimberlake"/>
    <n v="184"/>
    <x v="53"/>
    <s v="65.5M"/>
    <x v="2"/>
    <s v="226.5K"/>
    <s v="299.5K"/>
    <x v="164"/>
    <n v="226500"/>
    <n v="299500"/>
    <n v="3.4580152671755725E-3"/>
  </r>
  <r>
    <s v="feliciathegoat"/>
    <n v="185"/>
    <x v="3"/>
    <s v="13M"/>
    <x v="2"/>
    <s v="911.4K"/>
    <s v="1.5M"/>
    <x v="165"/>
    <n v="911400"/>
    <n v="1500000"/>
    <n v="7.0107692307692301E-2"/>
  </r>
  <r>
    <s v="haileesteinfeld"/>
    <n v="186"/>
    <x v="8"/>
    <s v="19.1M"/>
    <x v="2"/>
    <s v="796.2K"/>
    <s v="1M"/>
    <x v="166"/>
    <n v="796200"/>
    <n v="1000000"/>
    <n v="4.1685863874345551E-2"/>
  </r>
  <r>
    <s v="lukamodric10"/>
    <n v="187"/>
    <x v="0"/>
    <s v="24.3M"/>
    <x v="12"/>
    <s v="537.8K"/>
    <s v="787.4K"/>
    <x v="167"/>
    <n v="537800"/>
    <n v="787400"/>
    <n v="2.2131687242798355E-2"/>
  </r>
  <r>
    <s v="renebaebae"/>
    <n v="188"/>
    <x v="30"/>
    <s v="10.7M"/>
    <x v="4"/>
    <s v="1.5M"/>
    <s v="1.8M"/>
    <x v="168"/>
    <n v="1500000"/>
    <n v="1800000"/>
    <n v="0.14018691588785046"/>
  </r>
  <r>
    <s v="do0_nct"/>
    <n v="189"/>
    <x v="9"/>
    <s v="10.3M"/>
    <x v="4"/>
    <s v="1.4M"/>
    <s v="1.8M"/>
    <x v="169"/>
    <n v="1400000"/>
    <n v="1800000"/>
    <n v="0.13592233009708737"/>
  </r>
  <r>
    <s v="paulpogba"/>
    <n v="190"/>
    <x v="0"/>
    <s v="54.7M"/>
    <x v="3"/>
    <s v="190.8K"/>
    <s v="339.5K"/>
    <x v="170"/>
    <n v="190800"/>
    <n v="339500"/>
    <n v="3.4881170018281537E-3"/>
  </r>
  <r>
    <s v="heybiblee"/>
    <n v="191"/>
    <x v="29"/>
    <s v="14.4M"/>
    <x v="4"/>
    <s v="926.6K"/>
    <s v="1.3M"/>
    <x v="84"/>
    <n v="926600"/>
    <n v="1300000"/>
    <n v="6.4347222222222222E-2"/>
  </r>
  <r>
    <s v="sergioramos"/>
    <n v="192"/>
    <x v="0"/>
    <s v="52.3M"/>
    <x v="12"/>
    <s v="222.1K"/>
    <s v="343K"/>
    <x v="171"/>
    <n v="222100"/>
    <n v="343000"/>
    <n v="4.246653919694073E-3"/>
  </r>
  <r>
    <s v="nattinatasha"/>
    <n v="193"/>
    <x v="16"/>
    <s v="35.9M"/>
    <x v="6"/>
    <s v="417.9K"/>
    <s v="502.2K"/>
    <x v="172"/>
    <n v="417900"/>
    <n v="502200"/>
    <n v="1.1640668523676879E-2"/>
  </r>
  <r>
    <s v="awez_darbar"/>
    <n v="195"/>
    <x v="39"/>
    <s v="21.4M"/>
    <x v="0"/>
    <s v="694.6K"/>
    <s v="831.4K"/>
    <x v="173"/>
    <n v="694600"/>
    <n v="831400"/>
    <n v="3.2457943925233643E-2"/>
  </r>
  <r>
    <s v="bizarrap"/>
    <n v="196"/>
    <x v="3"/>
    <s v="13.5M"/>
    <x v="1"/>
    <s v="1.1M"/>
    <s v="1.3M"/>
    <x v="174"/>
    <n v="1100000"/>
    <n v="1300000"/>
    <n v="8.1481481481481488E-2"/>
  </r>
  <r>
    <s v="nina"/>
    <n v="197"/>
    <x v="8"/>
    <s v="25.7M"/>
    <x v="3"/>
    <s v="479.9K"/>
    <s v="687.6K"/>
    <x v="175"/>
    <n v="479900"/>
    <n v="687600"/>
    <n v="1.8673151750972762E-2"/>
  </r>
  <r>
    <s v="leedongwook_official"/>
    <n v="198"/>
    <x v="8"/>
    <s v="14.6M"/>
    <x v="4"/>
    <s v="904.6K"/>
    <s v="1.2M"/>
    <x v="176"/>
    <n v="904600"/>
    <n v="1200000"/>
    <n v="6.1958904109589041E-2"/>
  </r>
  <r>
    <s v="_imyour_joy"/>
    <n v="199"/>
    <x v="9"/>
    <s v="14M"/>
    <x v="4"/>
    <s v="1M"/>
    <s v="1.2M"/>
    <x v="177"/>
    <n v="1000000"/>
    <n v="1200000"/>
    <n v="7.1428571428571425E-2"/>
  </r>
  <r>
    <s v="bambam1a"/>
    <n v="200"/>
    <x v="3"/>
    <s v="16.6M"/>
    <x v="3"/>
    <s v="840.2K"/>
    <s v="1.1M"/>
    <x v="178"/>
    <n v="840200"/>
    <n v="1100000"/>
    <n v="5.0614457831325295E-2"/>
  </r>
  <r>
    <s v="anuel"/>
    <n v="201"/>
    <x v="3"/>
    <s v="28.8M"/>
    <x v="12"/>
    <s v="399.2K"/>
    <s v="613.7K"/>
    <x v="179"/>
    <n v="399200"/>
    <n v="613700"/>
    <n v="1.3861111111111111E-2"/>
  </r>
  <r>
    <s v="momo"/>
    <n v="202"/>
    <x v="29"/>
    <s v="6.9M"/>
    <x v="11"/>
    <s v="1.7M"/>
    <s v="2.6M"/>
    <x v="180"/>
    <n v="1700000"/>
    <n v="2600000"/>
    <n v="0.24637681159420291"/>
  </r>
  <r>
    <s v="zidane"/>
    <n v="204"/>
    <x v="0"/>
    <s v="33.1M"/>
    <x v="12"/>
    <s v="379.8K"/>
    <s v="517.9K"/>
    <x v="181"/>
    <n v="379800"/>
    <n v="517900"/>
    <n v="1.1474320241691843E-2"/>
  </r>
  <r>
    <s v="marshmello"/>
    <n v="205"/>
    <x v="3"/>
    <s v="29.4M"/>
    <x v="2"/>
    <n v="0"/>
    <s v="579.2K"/>
    <x v="182"/>
    <m/>
    <m/>
    <m/>
  </r>
  <r>
    <s v="hardikpandya93"/>
    <n v="206"/>
    <x v="0"/>
    <s v="21.7M"/>
    <x v="0"/>
    <s v="625.4K"/>
    <s v="784.1K"/>
    <x v="183"/>
    <n v="625400"/>
    <n v="784100"/>
    <n v="2.8820276497695852E-2"/>
  </r>
  <r>
    <s v="sza"/>
    <n v="207"/>
    <x v="3"/>
    <s v="12.3M"/>
    <x v="2"/>
    <s v="819.7K"/>
    <s v="1.4M"/>
    <x v="184"/>
    <n v="819700"/>
    <n v="1400000"/>
    <n v="6.6642276422764227E-2"/>
  </r>
  <r>
    <s v="zachking"/>
    <n v="208"/>
    <x v="39"/>
    <s v="24.7M"/>
    <x v="4"/>
    <s v="447K"/>
    <s v="687.7K"/>
    <x v="59"/>
    <n v="447000"/>
    <n v="687700"/>
    <n v="1.8097165991902833E-2"/>
  </r>
  <r>
    <s v="anitta"/>
    <n v="209"/>
    <x v="3"/>
    <s v="62.9M"/>
    <x v="3"/>
    <s v="145.8K"/>
    <s v="269.5K"/>
    <x v="185"/>
    <n v="145800"/>
    <n v="269500"/>
    <n v="2.3179650238473767E-3"/>
  </r>
  <r>
    <s v="liluzivert"/>
    <n v="210"/>
    <x v="3"/>
    <s v="16.1M"/>
    <x v="2"/>
    <s v="568.5K"/>
    <s v="1M"/>
    <x v="186"/>
    <n v="568500"/>
    <n v="1000000"/>
    <n v="3.5310559006211176E-2"/>
  </r>
  <r>
    <s v="kartikaaryan"/>
    <n v="211"/>
    <x v="8"/>
    <s v="25.5M"/>
    <x v="0"/>
    <s v="523.3K"/>
    <s v="651K"/>
    <x v="187"/>
    <n v="523299.99999999994"/>
    <n v="651000"/>
    <n v="2.0521568627450977E-2"/>
  </r>
  <r>
    <s v="louist91"/>
    <n v="212"/>
    <x v="3"/>
    <s v="18.5M"/>
    <x v="3"/>
    <s v="658.4K"/>
    <s v="901.1K"/>
    <x v="188"/>
    <n v="658400"/>
    <n v="901100"/>
    <n v="3.5589189189189192E-2"/>
  </r>
  <r>
    <s v="nehakakkar"/>
    <n v="213"/>
    <x v="3"/>
    <s v="70.4M"/>
    <x v="0"/>
    <s v="199.6K"/>
    <s v="231.8K"/>
    <x v="189"/>
    <n v="199600"/>
    <n v="231800"/>
    <n v="2.8352272727272727E-3"/>
  </r>
  <r>
    <s v="iamhalsey"/>
    <n v="214"/>
    <x v="3"/>
    <s v="30.1M"/>
    <x v="2"/>
    <s v="410K"/>
    <s v="539K"/>
    <x v="49"/>
    <n v="410000"/>
    <n v="539000"/>
    <n v="1.3621262458471761E-2"/>
  </r>
  <r>
    <s v="thenameisyash"/>
    <n v="215"/>
    <x v="8"/>
    <s v="10.9M"/>
    <x v="0"/>
    <s v="1.3M"/>
    <s v="1.5M"/>
    <x v="190"/>
    <n v="1300000"/>
    <n v="1500000"/>
    <n v="0.11926605504587157"/>
  </r>
  <r>
    <s v="davidbeckham"/>
    <n v="216"/>
    <x v="54"/>
    <s v="74.5M"/>
    <x v="0"/>
    <s v="169K"/>
    <s v="217.1K"/>
    <x v="191"/>
    <n v="169000"/>
    <n v="217100"/>
    <n v="2.2684563758389262E-3"/>
  </r>
  <r>
    <s v="janhvikapoor"/>
    <n v="218"/>
    <x v="46"/>
    <s v="17.7M"/>
    <x v="0"/>
    <s v="762.3K"/>
    <s v="910.2K"/>
    <x v="192"/>
    <n v="762300"/>
    <n v="910200"/>
    <n v="4.306779661016949E-2"/>
  </r>
  <r>
    <s v="lilbaby"/>
    <n v="219"/>
    <x v="3"/>
    <s v="19.8M"/>
    <x v="2"/>
    <s v="442.1K"/>
    <s v="815.8K"/>
    <x v="193"/>
    <n v="442100"/>
    <n v="815800"/>
    <n v="2.2328282828282829E-2"/>
  </r>
  <r>
    <s v="onyourm__ark"/>
    <n v="220"/>
    <x v="9"/>
    <s v="9M"/>
    <x v="4"/>
    <s v="1.4M"/>
    <s v="1.8M"/>
    <x v="194"/>
    <n v="1400000"/>
    <n v="1800000"/>
    <n v="0.15555555555555556"/>
  </r>
  <r>
    <s v="bbrightvc"/>
    <n v="221"/>
    <x v="8"/>
    <s v="15.5M"/>
    <x v="4"/>
    <s v="851.2K"/>
    <s v="1M"/>
    <x v="195"/>
    <n v="851200"/>
    <n v="1000000"/>
    <n v="5.4916129032258065E-2"/>
  </r>
  <r>
    <s v="riaricis1795"/>
    <n v="223"/>
    <x v="9"/>
    <s v="31.3M"/>
    <x v="4"/>
    <s v="412.3K"/>
    <s v="504.4K"/>
    <x v="196"/>
    <n v="412300"/>
    <n v="504400"/>
    <n v="1.3172523961661341E-2"/>
  </r>
  <r>
    <s v="hannahstocking"/>
    <n v="224"/>
    <x v="29"/>
    <s v="22.1M"/>
    <x v="2"/>
    <s v="493.5K"/>
    <s v="699.8K"/>
    <x v="197"/>
    <n v="493500"/>
    <n v="699800"/>
    <n v="2.2330316742081448E-2"/>
  </r>
  <r>
    <s v="iansomerhalder"/>
    <n v="225"/>
    <x v="8"/>
    <s v="23.1M"/>
    <x v="2"/>
    <s v="447K"/>
    <s v="668.3K"/>
    <x v="198"/>
    <n v="447000"/>
    <n v="668300"/>
    <n v="1.9350649350649351E-2"/>
  </r>
  <r>
    <s v="somsomi0309"/>
    <n v="226"/>
    <x v="3"/>
    <s v="15.1M"/>
    <x v="4"/>
    <s v="808.8K"/>
    <s v="1M"/>
    <x v="199"/>
    <n v="808800"/>
    <n v="1000000"/>
    <n v="5.3562913907284765E-2"/>
  </r>
  <r>
    <s v="mirella"/>
    <n v="227"/>
    <x v="3"/>
    <s v="27.2M"/>
    <x v="3"/>
    <s v="265.4K"/>
    <s v="560.6K"/>
    <x v="200"/>
    <n v="265400"/>
    <n v="560600"/>
    <n v="9.7573529411764705E-3"/>
  </r>
  <r>
    <s v="iamferv"/>
    <n v="228"/>
    <x v="55"/>
    <s v="10M"/>
    <x v="6"/>
    <s v="1.1M"/>
    <s v="1.5M"/>
    <x v="201"/>
    <n v="1100000"/>
    <n v="1500000"/>
    <n v="0.11"/>
  </r>
  <r>
    <s v="skuukzky"/>
    <n v="229"/>
    <x v="56"/>
    <s v="17.9M"/>
    <x v="4"/>
    <s v="678.7K"/>
    <s v="837.2K"/>
    <x v="202"/>
    <n v="678700"/>
    <n v="837200"/>
    <n v="3.7916201117318436E-2"/>
  </r>
  <r>
    <s v="anushkasen0408"/>
    <n v="230"/>
    <x v="8"/>
    <s v="38M"/>
    <x v="0"/>
    <s v="336.7K"/>
    <s v="393.2K"/>
    <x v="203"/>
    <n v="336700"/>
    <n v="393200"/>
    <n v="8.8605263157894732E-3"/>
  </r>
  <r>
    <s v="kunaguero"/>
    <n v="231"/>
    <x v="0"/>
    <s v="23.5M"/>
    <x v="1"/>
    <s v="363.4K"/>
    <s v="628.4K"/>
    <x v="204"/>
    <n v="363400"/>
    <n v="628400"/>
    <n v="1.5463829787234042E-2"/>
  </r>
  <r>
    <s v="psg"/>
    <n v="232"/>
    <x v="0"/>
    <s v="61.2M"/>
    <x v="3"/>
    <s v="143.2K"/>
    <s v="240.5K"/>
    <x v="205"/>
    <n v="143200"/>
    <n v="240500"/>
    <n v="2.3398692810457518E-3"/>
  </r>
  <r>
    <s v="mr_faisu_07"/>
    <n v="233"/>
    <x v="57"/>
    <s v="27.9M"/>
    <x v="0"/>
    <s v="418.7K"/>
    <s v="535.5K"/>
    <x v="206"/>
    <n v="418700"/>
    <n v="535500"/>
    <n v="1.5007168458781361E-2"/>
  </r>
  <r>
    <s v="larasilva"/>
    <n v="234"/>
    <x v="58"/>
    <s v="17.4M"/>
    <x v="3"/>
    <s v="551.2K"/>
    <s v="850.1K"/>
    <x v="207"/>
    <n v="551200"/>
    <n v="850100"/>
    <n v="3.1678160919540232E-2"/>
  </r>
  <r>
    <s v="paulolondra"/>
    <n v="235"/>
    <x v="3"/>
    <s v="13.8M"/>
    <x v="1"/>
    <s v="678.8K"/>
    <s v="1.1M"/>
    <x v="208"/>
    <n v="678800"/>
    <n v="1100000"/>
    <n v="4.9188405797101452E-2"/>
  </r>
  <r>
    <s v="winmetawin"/>
    <n v="236"/>
    <x v="9"/>
    <s v="13.8M"/>
    <x v="16"/>
    <s v="938.2K"/>
    <s v="1.1M"/>
    <x v="208"/>
    <n v="938200"/>
    <n v="1100000"/>
    <n v="6.7985507246376808E-2"/>
  </r>
  <r>
    <s v="taeoxo_nct"/>
    <n v="237"/>
    <x v="9"/>
    <s v="9.4M"/>
    <x v="4"/>
    <s v="1.2M"/>
    <s v="1.6M"/>
    <x v="209"/>
    <n v="1200000"/>
    <n v="1600000"/>
    <n v="0.1276595744680851"/>
  </r>
  <r>
    <s v="tinistoessel"/>
    <n v="238"/>
    <x v="3"/>
    <s v="18.3M"/>
    <x v="1"/>
    <s v="592.3K"/>
    <s v="793.7K"/>
    <x v="210"/>
    <n v="592300"/>
    <n v="793700"/>
    <n v="3.2366120218579236E-2"/>
  </r>
  <r>
    <s v="klrahul"/>
    <n v="239"/>
    <x v="0"/>
    <s v="12.9M"/>
    <x v="0"/>
    <s v="872.1K"/>
    <s v="1.1M"/>
    <x v="211"/>
    <n v="872100"/>
    <n v="1100000"/>
    <n v="6.7604651162790699E-2"/>
  </r>
  <r>
    <s v="hero_ft"/>
    <n v="240"/>
    <x v="34"/>
    <s v="7.6M"/>
    <x v="3"/>
    <s v="1.2M"/>
    <s v="1.9M"/>
    <x v="212"/>
    <n v="1200000"/>
    <n v="1900000"/>
    <n v="0.15789473684210525"/>
  </r>
  <r>
    <s v="johnnyjsuh"/>
    <n v="241"/>
    <x v="28"/>
    <s v="8.7M"/>
    <x v="4"/>
    <s v="1.3M"/>
    <s v="1.6M"/>
    <x v="213"/>
    <n v="1300000"/>
    <n v="1600000"/>
    <n v="0.14942528735632185"/>
  </r>
  <r>
    <s v="carryminati"/>
    <n v="242"/>
    <x v="59"/>
    <s v="15.9M"/>
    <x v="0"/>
    <s v="752.5K"/>
    <s v="885.8K"/>
    <x v="155"/>
    <n v="752500"/>
    <n v="885800"/>
    <n v="4.7327044025157236E-2"/>
  </r>
  <r>
    <s v="jessicah_o"/>
    <n v="243"/>
    <x v="3"/>
    <s v="12.1M"/>
    <x v="2"/>
    <s v="909.2K"/>
    <s v="1.2M"/>
    <x v="112"/>
    <n v="909200"/>
    <n v="1200000"/>
    <n v="7.5140495867768595E-2"/>
  </r>
  <r>
    <s v="samoylovaoxana"/>
    <n v="244"/>
    <x v="60"/>
    <s v="15.2M"/>
    <x v="7"/>
    <s v="679.4K"/>
    <s v="923.3K"/>
    <x v="214"/>
    <n v="679400"/>
    <n v="923300"/>
    <n v="4.4697368421052631E-2"/>
  </r>
  <r>
    <s v="colesprouse"/>
    <n v="245"/>
    <x v="29"/>
    <s v="36M"/>
    <x v="2"/>
    <s v="292.1K"/>
    <s v="382.5K"/>
    <x v="34"/>
    <n v="292100"/>
    <n v="382500"/>
    <n v="8.1138888888888892E-3"/>
  </r>
  <r>
    <s v="tigerjackieshroff"/>
    <n v="246"/>
    <x v="8"/>
    <s v="35.4M"/>
    <x v="0"/>
    <s v="315.2K"/>
    <s v="385.9K"/>
    <x v="111"/>
    <n v="315200"/>
    <n v="385900"/>
    <n v="8.9039548022598874E-3"/>
  </r>
  <r>
    <s v="m.by__sana"/>
    <n v="247"/>
    <x v="61"/>
    <s v="6.3M"/>
    <x v="2"/>
    <n v="0"/>
    <s v="2.2M"/>
    <x v="182"/>
    <m/>
    <m/>
    <m/>
  </r>
  <r>
    <s v="holyhaein"/>
    <n v="248"/>
    <x v="8"/>
    <s v="10.2M"/>
    <x v="4"/>
    <s v="1.1M"/>
    <s v="1.3M"/>
    <x v="215"/>
    <n v="1100000"/>
    <n v="1300000"/>
    <n v="0.10784313725490197"/>
  </r>
  <r>
    <s v="manurios"/>
    <n v="249"/>
    <x v="62"/>
    <s v="11.1M"/>
    <x v="6"/>
    <s v="711.7K"/>
    <s v="1.2M"/>
    <x v="216"/>
    <n v="711700"/>
    <n v="1200000"/>
    <n v="6.4117117117117123E-2"/>
  </r>
  <r>
    <s v="mina_sr_my"/>
    <n v="250"/>
    <x v="61"/>
    <s v="5.6M"/>
    <x v="2"/>
    <n v="0"/>
    <s v="2.4M"/>
    <x v="182"/>
    <m/>
    <m/>
    <m/>
  </r>
  <r>
    <s v="juandediospantoja"/>
    <n v="251"/>
    <x v="53"/>
    <s v="22.3M"/>
    <x v="6"/>
    <s v="517.7K"/>
    <s v="591.2K"/>
    <x v="217"/>
    <n v="517700.00000000006"/>
    <n v="591200"/>
    <n v="2.3215246636771304E-2"/>
  </r>
  <r>
    <s v="rauwalejandro"/>
    <n v="252"/>
    <x v="3"/>
    <s v="15M"/>
    <x v="12"/>
    <s v="605.4K"/>
    <s v="876K"/>
    <x v="218"/>
    <n v="605400"/>
    <n v="876000"/>
    <n v="4.036E-2"/>
  </r>
  <r>
    <s v="luvadepedreiro"/>
    <n v="253"/>
    <x v="54"/>
    <s v="15.3M"/>
    <x v="3"/>
    <s v="377.5K"/>
    <s v="855.4K"/>
    <x v="219"/>
    <n v="377500"/>
    <n v="855400"/>
    <n v="2.4673202614379084E-2"/>
  </r>
  <r>
    <s v="ronaldinho"/>
    <n v="254"/>
    <x v="0"/>
    <s v="67.4M"/>
    <x v="3"/>
    <s v="108.8K"/>
    <s v="192.3K"/>
    <x v="220"/>
    <n v="108800"/>
    <n v="192300"/>
    <n v="1.6142433234421366E-3"/>
  </r>
  <r>
    <s v="avneetkaur_13"/>
    <n v="255"/>
    <x v="8"/>
    <s v="32.3M"/>
    <x v="0"/>
    <s v="329.9K"/>
    <s v="402.5K"/>
    <x v="82"/>
    <n v="329900"/>
    <n v="402500"/>
    <n v="1.0213622291021672E-2"/>
  </r>
  <r>
    <s v="xeesoxee"/>
    <n v="256"/>
    <x v="9"/>
    <s v="9.3M"/>
    <x v="4"/>
    <s v="1.1M"/>
    <s v="1.4M"/>
    <x v="221"/>
    <n v="1100000"/>
    <n v="1400000"/>
    <n v="0.11827956989247312"/>
  </r>
  <r>
    <s v="daddyyankee"/>
    <n v="257"/>
    <x v="3"/>
    <s v="45.8M"/>
    <x v="1"/>
    <s v="204.4K"/>
    <s v="284.4K"/>
    <x v="46"/>
    <n v="204400"/>
    <n v="284400"/>
    <n v="4.4628820960698687E-3"/>
  </r>
  <r>
    <s v="iambeckyg"/>
    <n v="258"/>
    <x v="3"/>
    <s v="32.8M"/>
    <x v="6"/>
    <s v="324.2K"/>
    <s v="389.7K"/>
    <x v="222"/>
    <n v="324200"/>
    <n v="389700"/>
    <n v="9.8841463414634165E-3"/>
  </r>
  <r>
    <s v="xxxibgdrgn"/>
    <n v="259"/>
    <x v="63"/>
    <s v="21.2M"/>
    <x v="4"/>
    <s v="475.6K"/>
    <s v="602.8K"/>
    <x v="154"/>
    <n v="475600"/>
    <n v="602800"/>
    <n v="2.2433962264150942E-2"/>
  </r>
  <r>
    <s v="ileana_official"/>
    <n v="260"/>
    <x v="8"/>
    <s v="14.9M"/>
    <x v="0"/>
    <s v="702.1K"/>
    <s v="852.8K"/>
    <x v="223"/>
    <n v="702100"/>
    <n v="852800"/>
    <n v="4.7120805369127515E-2"/>
  </r>
  <r>
    <s v="taeyeon_ss"/>
    <n v="261"/>
    <x v="3"/>
    <s v="18.7M"/>
    <x v="5"/>
    <s v="559.6K"/>
    <s v="681.1K"/>
    <x v="224"/>
    <n v="559600"/>
    <n v="681100"/>
    <n v="2.992513368983957E-2"/>
  </r>
  <r>
    <s v="sunnyleone"/>
    <n v="262"/>
    <x v="64"/>
    <s v="53.1M"/>
    <x v="0"/>
    <s v="177.1K"/>
    <s v="238.7K"/>
    <x v="113"/>
    <n v="177100"/>
    <n v="238700"/>
    <n v="3.3352165725047079E-3"/>
  </r>
  <r>
    <s v="soohyun_k216"/>
    <n v="263"/>
    <x v="8"/>
    <s v="13.7M"/>
    <x v="4"/>
    <s v="753.3K"/>
    <s v="918.1K"/>
    <x v="225"/>
    <n v="753300"/>
    <n v="918100"/>
    <n v="5.4985401459854012E-2"/>
  </r>
  <r>
    <s v="keniaos"/>
    <n v="264"/>
    <x v="3"/>
    <s v="13.6M"/>
    <x v="6"/>
    <s v="712.4K"/>
    <s v="926.9K"/>
    <x v="142"/>
    <n v="712400"/>
    <n v="926900"/>
    <n v="5.238235294117647E-2"/>
  </r>
  <r>
    <s v="maisa"/>
    <n v="265"/>
    <x v="3"/>
    <s v="44M"/>
    <x v="3"/>
    <s v="210.6K"/>
    <s v="284.7K"/>
    <x v="226"/>
    <n v="210600"/>
    <n v="284700"/>
    <n v="4.7863636363636363E-3"/>
  </r>
  <r>
    <s v="vickykaushal09"/>
    <n v="266"/>
    <x v="8"/>
    <s v="14.1M"/>
    <x v="0"/>
    <s v="752.9K"/>
    <s v="883.9K"/>
    <x v="149"/>
    <n v="752900"/>
    <n v="883900"/>
    <n v="5.3397163120567373E-2"/>
  </r>
  <r>
    <s v="riyaz.14"/>
    <n v="267"/>
    <x v="55"/>
    <s v="27.3M"/>
    <x v="0"/>
    <s v="353.4K"/>
    <s v="460.1K"/>
    <x v="227"/>
    <n v="353400"/>
    <n v="460100"/>
    <n v="1.2945054945054945E-2"/>
  </r>
  <r>
    <s v="sachintendulkar"/>
    <n v="268"/>
    <x v="49"/>
    <s v="35.1M"/>
    <x v="0"/>
    <s v="289.9K"/>
    <s v="346.5K"/>
    <x v="228"/>
    <n v="289900"/>
    <n v="346500"/>
    <n v="8.2592592592592596E-3"/>
  </r>
  <r>
    <s v="layzhang"/>
    <n v="269"/>
    <x v="3"/>
    <s v="14.2M"/>
    <x v="4"/>
    <s v="814.8K"/>
    <s v="865.9K"/>
    <x v="229"/>
    <n v="814800"/>
    <n v="865900"/>
    <n v="5.7380281690140846E-2"/>
  </r>
  <r>
    <s v="varundvn"/>
    <n v="270"/>
    <x v="8"/>
    <s v="43.2M"/>
    <x v="0"/>
    <s v="227.7K"/>
    <s v="279.5K"/>
    <x v="230"/>
    <n v="227700"/>
    <n v="279500"/>
    <n v="5.2708333333333331E-3"/>
  </r>
  <r>
    <s v="trippieredd"/>
    <n v="271"/>
    <x v="3"/>
    <s v="13.1M"/>
    <x v="2"/>
    <s v="472.5K"/>
    <s v="926K"/>
    <x v="231"/>
    <n v="472500"/>
    <n v="926000"/>
    <n v="3.6068702290076339E-2"/>
  </r>
  <r>
    <s v="clean_0828"/>
    <n v="272"/>
    <x v="9"/>
    <s v="8M"/>
    <x v="4"/>
    <s v="1.2M"/>
    <s v="1.5M"/>
    <x v="232"/>
    <n v="1200000"/>
    <n v="1500000"/>
    <n v="0.15"/>
  </r>
  <r>
    <s v="nayeonyny"/>
    <n v="273"/>
    <x v="61"/>
    <s v="6.6M"/>
    <x v="2"/>
    <n v="0"/>
    <s v="1.9M"/>
    <x v="182"/>
    <m/>
    <m/>
    <m/>
  </r>
  <r>
    <s v="angelrai07"/>
    <n v="274"/>
    <x v="65"/>
    <s v="20.5M"/>
    <x v="0"/>
    <s v="487.2K"/>
    <s v="587.5K"/>
    <x v="163"/>
    <n v="487200"/>
    <n v="587500"/>
    <n v="2.3765853658536586E-2"/>
  </r>
  <r>
    <s v="chaeyo.0"/>
    <n v="275"/>
    <x v="61"/>
    <s v="5.8M"/>
    <x v="2"/>
    <n v="0"/>
    <s v="2.1M"/>
    <x v="182"/>
    <m/>
    <m/>
    <m/>
  </r>
  <r>
    <s v="liampayne"/>
    <n v="276"/>
    <x v="3"/>
    <s v="24.4M"/>
    <x v="2"/>
    <s v="350.9K"/>
    <s v="489.8K"/>
    <x v="141"/>
    <n v="350900"/>
    <n v="489800"/>
    <n v="1.4381147540983607E-2"/>
  </r>
  <r>
    <s v="lomon991111"/>
    <n v="277"/>
    <x v="9"/>
    <s v="5.7M"/>
    <x v="17"/>
    <n v="0"/>
    <s v="2.1M"/>
    <x v="182"/>
    <m/>
    <m/>
    <m/>
  </r>
  <r>
    <s v="hi_sseulgi"/>
    <n v="279"/>
    <x v="29"/>
    <s v="12.5M"/>
    <x v="4"/>
    <s v="743.9K"/>
    <s v="932.8K"/>
    <x v="233"/>
    <n v="743900"/>
    <n v="932800"/>
    <n v="5.9512000000000002E-2"/>
  </r>
  <r>
    <s v="charlieputh"/>
    <n v="280"/>
    <x v="3"/>
    <s v="16.5M"/>
    <x v="2"/>
    <s v="491.1K"/>
    <s v="697.7K"/>
    <x v="234"/>
    <n v="491100"/>
    <n v="697700"/>
    <n v="2.9763636363636364E-2"/>
  </r>
  <r>
    <s v="ashishchanchlani"/>
    <n v="281"/>
    <x v="8"/>
    <s v="14.6M"/>
    <x v="0"/>
    <s v="638.4K"/>
    <s v="780.4K"/>
    <x v="176"/>
    <n v="638400"/>
    <n v="780400"/>
    <n v="4.3726027397260274E-2"/>
  </r>
  <r>
    <s v="iammichelemorroneofficial"/>
    <n v="282"/>
    <x v="66"/>
    <s v="14.9M"/>
    <x v="3"/>
    <s v="534.7K"/>
    <s v="766.6K"/>
    <x v="223"/>
    <n v="534700"/>
    <n v="766600"/>
    <n v="3.5885906040268457E-2"/>
  </r>
  <r>
    <s v="_zyozyo"/>
    <n v="283"/>
    <x v="61"/>
    <s v="5.5M"/>
    <x v="2"/>
    <n v="0"/>
    <s v="2.1M"/>
    <x v="182"/>
    <m/>
    <m/>
    <m/>
  </r>
  <r>
    <s v="anguscloud"/>
    <n v="284"/>
    <x v="28"/>
    <s v="8.2M"/>
    <x v="2"/>
    <s v="831K"/>
    <s v="1.4M"/>
    <x v="235"/>
    <n v="831000"/>
    <n v="1400000"/>
    <n v="0.10134146341463415"/>
  </r>
  <r>
    <s v="shaymitchell"/>
    <n v="285"/>
    <x v="67"/>
    <s v="33.8M"/>
    <x v="2"/>
    <s v="234.1K"/>
    <s v="326.7K"/>
    <x v="236"/>
    <n v="234100"/>
    <n v="326700"/>
    <n v="6.9260355029585798E-3"/>
  </r>
  <r>
    <s v="kiaraaliaadvani"/>
    <n v="286"/>
    <x v="8"/>
    <s v="24.3M"/>
    <x v="0"/>
    <s v="400.5K"/>
    <s v="453.7K"/>
    <x v="167"/>
    <n v="400500"/>
    <n v="453700"/>
    <n v="1.6481481481481482E-2"/>
  </r>
  <r>
    <s v="krisjenner"/>
    <n v="287"/>
    <x v="68"/>
    <s v="48.9M"/>
    <x v="2"/>
    <s v="148.3K"/>
    <s v="224.2K"/>
    <x v="61"/>
    <n v="148300"/>
    <n v="224200"/>
    <n v="3.0327198364008181E-3"/>
  </r>
  <r>
    <s v="perrieedwards"/>
    <n v="288"/>
    <x v="29"/>
    <s v="15.5M"/>
    <x v="3"/>
    <s v="452.3K"/>
    <s v="705.7K"/>
    <x v="195"/>
    <n v="452300"/>
    <n v="705700"/>
    <n v="2.9180645161290323E-2"/>
  </r>
  <r>
    <s v="yaocabrera"/>
    <n v="289"/>
    <x v="69"/>
    <s v="14.7M"/>
    <x v="1"/>
    <s v="342.3K"/>
    <s v="741.5K"/>
    <x v="237"/>
    <n v="342300"/>
    <n v="741500"/>
    <n v="2.3285714285714285E-2"/>
  </r>
  <r>
    <s v="tenlee_1001"/>
    <n v="290"/>
    <x v="3"/>
    <s v="9.8M"/>
    <x v="4"/>
    <s v="877.3K"/>
    <s v="1.1M"/>
    <x v="153"/>
    <n v="877300"/>
    <n v="1100000"/>
    <n v="8.95204081632653E-2"/>
  </r>
  <r>
    <s v="min9yu_k"/>
    <n v="291"/>
    <x v="3"/>
    <s v="6.9M"/>
    <x v="4"/>
    <s v="1.3M"/>
    <s v="1.6M"/>
    <x v="180"/>
    <n v="1300000"/>
    <n v="1600000"/>
    <n v="0.18840579710144928"/>
  </r>
  <r>
    <s v="alexandradaddario"/>
    <n v="292"/>
    <x v="8"/>
    <s v="22.6M"/>
    <x v="0"/>
    <s v="388.3K"/>
    <s v="475.1K"/>
    <x v="238"/>
    <n v="388300"/>
    <n v="475100"/>
    <n v="1.7181415929203539E-2"/>
  </r>
  <r>
    <s v="alidaei"/>
    <n v="293"/>
    <x v="0"/>
    <s v="9M"/>
    <x v="14"/>
    <s v="739.5K"/>
    <s v="1.2M"/>
    <x v="194"/>
    <n v="739500"/>
    <n v="1200000"/>
    <n v="8.2166666666666666E-2"/>
  </r>
  <r>
    <s v="gatenm123"/>
    <n v="294"/>
    <x v="70"/>
    <s v="17M"/>
    <x v="3"/>
    <s v="474.8K"/>
    <s v="626.7K"/>
    <x v="94"/>
    <n v="474800"/>
    <n v="626700"/>
    <n v="2.7929411764705883E-2"/>
  </r>
  <r>
    <s v="_rl9"/>
    <n v="296"/>
    <x v="0"/>
    <s v="26.8M"/>
    <x v="18"/>
    <s v="312.5K"/>
    <s v="397.1K"/>
    <x v="239"/>
    <n v="312500"/>
    <n v="397100"/>
    <n v="1.1660447761194031E-2"/>
  </r>
  <r>
    <s v="bighit_ent"/>
    <n v="297"/>
    <x v="3"/>
    <s v="13M"/>
    <x v="4"/>
    <s v="660.3K"/>
    <s v="813.9K"/>
    <x v="165"/>
    <n v="660300"/>
    <n v="813900"/>
    <n v="5.0792307692307692E-2"/>
  </r>
  <r>
    <s v="kimjuncotton"/>
    <n v="298"/>
    <x v="9"/>
    <s v="10.3M"/>
    <x v="4"/>
    <s v="859.1K"/>
    <s v="1M"/>
    <x v="169"/>
    <n v="859100"/>
    <n v="1000000"/>
    <n v="8.340776699029126E-2"/>
  </r>
  <r>
    <s v="whinderssonnunes"/>
    <n v="299"/>
    <x v="65"/>
    <s v="58.6M"/>
    <x v="3"/>
    <s v="114.5K"/>
    <s v="179.4K"/>
    <x v="240"/>
    <n v="114500"/>
    <n v="179400"/>
    <n v="1.953924914675768E-3"/>
  </r>
  <r>
    <s v="jy_piece"/>
    <n v="300"/>
    <x v="61"/>
    <s v="4.8M"/>
    <x v="2"/>
    <n v="0"/>
    <s v="2.2M"/>
    <x v="182"/>
    <m/>
    <m/>
    <m/>
  </r>
  <r>
    <s v="imsebastianstan"/>
    <n v="301"/>
    <x v="50"/>
    <s v="9.4M"/>
    <x v="2"/>
    <s v="933.1K"/>
    <s v="1.1M"/>
    <x v="209"/>
    <n v="933100"/>
    <n v="1100000"/>
    <n v="9.9265957446808509E-2"/>
  </r>
  <r>
    <s v="therealcalebmclaughlin"/>
    <n v="302"/>
    <x v="27"/>
    <s v="14.2M"/>
    <x v="2"/>
    <s v="493.3K"/>
    <s v="724.2K"/>
    <x v="229"/>
    <n v="493300"/>
    <n v="724200"/>
    <n v="3.473943661971831E-2"/>
  </r>
  <r>
    <s v="nct"/>
    <n v="303"/>
    <x v="3"/>
    <s v="14.4M"/>
    <x v="4"/>
    <s v="541.4K"/>
    <s v="709.2K"/>
    <x v="84"/>
    <n v="541400"/>
    <n v="709200"/>
    <n v="3.7597222222222219E-2"/>
  </r>
  <r>
    <s v="yuu_taa_1026"/>
    <n v="304"/>
    <x v="3"/>
    <s v="8.4M"/>
    <x v="4"/>
    <s v="950.4K"/>
    <s v="1.2M"/>
    <x v="241"/>
    <n v="950400"/>
    <n v="1200000"/>
    <n v="0.11314285714285714"/>
  </r>
  <r>
    <s v="m_kayoung"/>
    <n v="305"/>
    <x v="8"/>
    <s v="8.3M"/>
    <x v="4"/>
    <s v="930.3K"/>
    <s v="1.2M"/>
    <x v="242"/>
    <n v="930300"/>
    <n v="1200000"/>
    <n v="0.11208433734939757"/>
  </r>
  <r>
    <s v="yellow_3to3"/>
    <n v="306"/>
    <x v="28"/>
    <s v="5.9M"/>
    <x v="4"/>
    <s v="1.4M"/>
    <s v="1.7M"/>
    <x v="243"/>
    <n v="1400000"/>
    <n v="1700000"/>
    <n v="0.23728813559322035"/>
  </r>
  <r>
    <s v="_mariahwasa"/>
    <n v="307"/>
    <x v="61"/>
    <s v="8.2M"/>
    <x v="3"/>
    <s v="973.8K"/>
    <s v="1.3M"/>
    <x v="235"/>
    <n v="973800"/>
    <n v="1300000"/>
    <n v="0.11875609756097562"/>
  </r>
  <r>
    <s v="rudeth"/>
    <n v="308"/>
    <x v="65"/>
    <s v="6.5M"/>
    <x v="2"/>
    <s v="1M"/>
    <s v="1.6M"/>
    <x v="244"/>
    <n v="1000000"/>
    <n v="1600000"/>
    <n v="0.15384615384615385"/>
  </r>
  <r>
    <s v="mont.pantoja"/>
    <n v="309"/>
    <x v="61"/>
    <s v="12M"/>
    <x v="6"/>
    <s v="699.7K"/>
    <s v="832.7K"/>
    <x v="245"/>
    <n v="699700"/>
    <n v="832700"/>
    <n v="5.830833333333333E-2"/>
  </r>
  <r>
    <s v="mariaalice"/>
    <n v="310"/>
    <x v="61"/>
    <s v="7.3M"/>
    <x v="3"/>
    <s v="667.5K"/>
    <s v="1.4M"/>
    <x v="246"/>
    <n v="667500"/>
    <n v="1400000"/>
    <n v="9.1438356164383561E-2"/>
  </r>
  <r>
    <s v="enhypen"/>
    <n v="311"/>
    <x v="3"/>
    <s v="10.5M"/>
    <x v="4"/>
    <s v="678.9K"/>
    <s v="952.4K"/>
    <x v="247"/>
    <n v="678900"/>
    <n v="952400"/>
    <n v="6.4657142857142857E-2"/>
  </r>
  <r>
    <s v="realbarbarapalvin"/>
    <n v="312"/>
    <x v="2"/>
    <s v="17.9M"/>
    <x v="7"/>
    <s v="412.1K"/>
    <s v="556K"/>
    <x v="202"/>
    <n v="412100"/>
    <n v="556000"/>
    <n v="2.3022346368715085E-2"/>
  </r>
  <r>
    <s v="marktuan"/>
    <n v="313"/>
    <x v="71"/>
    <s v="12.8M"/>
    <x v="19"/>
    <s v="590.8K"/>
    <s v="776.3K"/>
    <x v="248"/>
    <n v="590800"/>
    <n v="776300"/>
    <n v="4.6156250000000003E-2"/>
  </r>
  <r>
    <s v="maudyayunda"/>
    <n v="314"/>
    <x v="3"/>
    <s v="16.9M"/>
    <x v="4"/>
    <s v="394.8K"/>
    <s v="581.3K"/>
    <x v="249"/>
    <n v="394800"/>
    <n v="581300"/>
    <n v="2.336094674556213E-2"/>
  </r>
  <r>
    <s v="bretmanrock"/>
    <n v="315"/>
    <x v="72"/>
    <s v="18.4M"/>
    <x v="2"/>
    <s v="315.5K"/>
    <s v="531K"/>
    <x v="250"/>
    <n v="315500"/>
    <n v="531000"/>
    <n v="1.7146739130434782E-2"/>
  </r>
  <r>
    <s v="elrodrigocontreras"/>
    <n v="316"/>
    <x v="9"/>
    <s v="12.9M"/>
    <x v="6"/>
    <s v="684.5K"/>
    <s v="754.7K"/>
    <x v="211"/>
    <n v="684500"/>
    <n v="754700"/>
    <n v="5.3062015503875966E-2"/>
  </r>
  <r>
    <s v="nct127"/>
    <n v="317"/>
    <x v="3"/>
    <s v="14.1M"/>
    <x v="4"/>
    <s v="555.1K"/>
    <s v="685.8K"/>
    <x v="149"/>
    <n v="555100"/>
    <n v="685800"/>
    <n v="3.9368794326241137E-2"/>
  </r>
  <r>
    <s v="wwiinn_7"/>
    <n v="318"/>
    <x v="3"/>
    <s v="7.3M"/>
    <x v="4"/>
    <s v="1.2M"/>
    <s v="1.3M"/>
    <x v="246"/>
    <n v="1200000"/>
    <n v="1300000"/>
    <n v="0.16438356164383561"/>
  </r>
  <r>
    <s v="lizasoberano"/>
    <n v="319"/>
    <x v="73"/>
    <s v="17.3M"/>
    <x v="16"/>
    <s v="467.4K"/>
    <s v="557.7K"/>
    <x v="251"/>
    <n v="467400"/>
    <n v="557700"/>
    <n v="2.7017341040462429E-2"/>
  </r>
  <r>
    <s v="bellapoarch"/>
    <n v="320"/>
    <x v="28"/>
    <s v="14.1M"/>
    <x v="2"/>
    <s v="502.1K"/>
    <s v="677.8K"/>
    <x v="149"/>
    <n v="502100"/>
    <n v="677800"/>
    <n v="3.5609929078014184E-2"/>
  </r>
  <r>
    <s v="bhuvan.bam22"/>
    <n v="321"/>
    <x v="8"/>
    <s v="14.8M"/>
    <x v="0"/>
    <s v="525.4K"/>
    <s v="650K"/>
    <x v="252"/>
    <n v="525400"/>
    <n v="650000"/>
    <n v="3.5499999999999997E-2"/>
  </r>
  <r>
    <s v="txt_bighit"/>
    <n v="322"/>
    <x v="74"/>
    <s v="12.5M"/>
    <x v="4"/>
    <s v="604.8K"/>
    <s v="763K"/>
    <x v="233"/>
    <n v="604800"/>
    <n v="763000"/>
    <n v="4.8384000000000003E-2"/>
  </r>
  <r>
    <s v="dahhyunnee"/>
    <n v="323"/>
    <x v="61"/>
    <s v="5.3M"/>
    <x v="2"/>
    <n v="0"/>
    <s v="1.8M"/>
    <x v="182"/>
    <m/>
    <m/>
    <m/>
  </r>
  <r>
    <s v="jamescharles"/>
    <n v="324"/>
    <x v="19"/>
    <s v="22.9M"/>
    <x v="2"/>
    <s v="282.8K"/>
    <s v="414K"/>
    <x v="253"/>
    <n v="282800"/>
    <n v="414000"/>
    <n v="1.2349344978165939E-2"/>
  </r>
  <r>
    <s v="taehyung.bighitentertainment"/>
    <n v="325"/>
    <x v="75"/>
    <s v="10M"/>
    <x v="4"/>
    <s v="909.7K"/>
    <s v="960.7K"/>
    <x v="201"/>
    <n v="909700"/>
    <n v="960700"/>
    <n v="9.0969999999999995E-2"/>
  </r>
  <r>
    <s v="postmalone"/>
    <n v="326"/>
    <x v="3"/>
    <s v="22.4M"/>
    <x v="2"/>
    <s v="274.8K"/>
    <s v="420.2K"/>
    <x v="254"/>
    <n v="274800"/>
    <n v="420200"/>
    <n v="1.2267857142857143E-2"/>
  </r>
  <r>
    <s v="ssinz7"/>
    <n v="327"/>
    <x v="16"/>
    <s v="13.7M"/>
    <x v="4"/>
    <s v="555.7K"/>
    <s v="683.1K"/>
    <x v="225"/>
    <n v="555700"/>
    <n v="683100"/>
    <n v="4.0562043795620437E-2"/>
  </r>
  <r>
    <s v="o.dembele7"/>
    <n v="328"/>
    <x v="0"/>
    <s v="10.9M"/>
    <x v="12"/>
    <s v="503.1K"/>
    <s v="862.3K"/>
    <x v="190"/>
    <n v="503100"/>
    <n v="862300"/>
    <n v="4.6155963302752297E-2"/>
  </r>
  <r>
    <s v="ranveersingh"/>
    <n v="329"/>
    <x v="76"/>
    <s v="40.1M"/>
    <x v="0"/>
    <s v="179.2K"/>
    <s v="233.4K"/>
    <x v="255"/>
    <n v="179200"/>
    <n v="233400"/>
    <n v="4.468827930174564E-3"/>
  </r>
  <r>
    <s v="jinyoung_0922jy"/>
    <n v="330"/>
    <x v="3"/>
    <s v="9.9M"/>
    <x v="4"/>
    <s v="725.8K"/>
    <s v="959.7K"/>
    <x v="256"/>
    <n v="725800"/>
    <n v="959700"/>
    <n v="7.3313131313131316E-2"/>
  </r>
  <r>
    <s v="luisasonza"/>
    <n v="331"/>
    <x v="7"/>
    <s v="29.5M"/>
    <x v="3"/>
    <s v="198.7K"/>
    <s v="315.7K"/>
    <x v="123"/>
    <n v="198700"/>
    <n v="315700"/>
    <n v="6.735593220338983E-3"/>
  </r>
  <r>
    <s v="bellathorne"/>
    <n v="332"/>
    <x v="77"/>
    <s v="25.4M"/>
    <x v="2"/>
    <s v="217.3K"/>
    <s v="365K"/>
    <x v="103"/>
    <n v="217300"/>
    <n v="365000"/>
    <n v="8.5551181102362199E-3"/>
  </r>
  <r>
    <s v="ksi"/>
    <n v="333"/>
    <x v="3"/>
    <s v="11.6M"/>
    <x v="20"/>
    <s v="565.8K"/>
    <s v="794K"/>
    <x v="257"/>
    <n v="565800"/>
    <n v="794000"/>
    <n v="4.8775862068965517E-2"/>
  </r>
  <r>
    <s v="kevindebruyne"/>
    <n v="334"/>
    <x v="0"/>
    <s v="18M"/>
    <x v="20"/>
    <s v="322.4K"/>
    <s v="499.5K"/>
    <x v="258"/>
    <n v="322400"/>
    <n v="499500"/>
    <n v="1.791111111111111E-2"/>
  </r>
  <r>
    <s v="marvel"/>
    <n v="335"/>
    <x v="78"/>
    <s v="65.4M"/>
    <x v="2"/>
    <s v="115.9K"/>
    <s v="136.6K"/>
    <x v="259"/>
    <n v="115900"/>
    <n v="136600"/>
    <n v="1.7721712538226297E-3"/>
  </r>
  <r>
    <s v="arigameplays"/>
    <n v="336"/>
    <x v="61"/>
    <s v="11M"/>
    <x v="6"/>
    <s v="669.1K"/>
    <s v="803.9K"/>
    <x v="260"/>
    <n v="669100"/>
    <n v="803900"/>
    <n v="6.082727272727273E-2"/>
  </r>
  <r>
    <s v="fedez"/>
    <n v="337"/>
    <x v="3"/>
    <s v="14.2M"/>
    <x v="9"/>
    <s v="449.7K"/>
    <s v="622.1K"/>
    <x v="229"/>
    <n v="449700"/>
    <n v="622100"/>
    <n v="3.1669014084507043E-2"/>
  </r>
  <r>
    <s v="prattprattpratt"/>
    <n v="338"/>
    <x v="8"/>
    <s v="37.4M"/>
    <x v="2"/>
    <s v="180.7K"/>
    <s v="235.1K"/>
    <x v="16"/>
    <n v="180700"/>
    <n v="235100"/>
    <n v="4.831550802139037E-3"/>
  </r>
  <r>
    <s v="itzy.all.in.us"/>
    <n v="339"/>
    <x v="3"/>
    <s v="17.2M"/>
    <x v="4"/>
    <s v="414.3K"/>
    <s v="507.3K"/>
    <x v="261"/>
    <n v="414300"/>
    <n v="507300"/>
    <n v="2.4087209302325583E-2"/>
  </r>
  <r>
    <s v="lestykejora"/>
    <n v="340"/>
    <x v="3"/>
    <s v="25.7M"/>
    <x v="4"/>
    <s v="263K"/>
    <s v="339K"/>
    <x v="175"/>
    <n v="263000"/>
    <n v="339000"/>
    <n v="1.0233463035019456E-2"/>
  </r>
  <r>
    <s v="jbalvin"/>
    <n v="341"/>
    <x v="3"/>
    <s v="52.8M"/>
    <x v="6"/>
    <s v="125K"/>
    <s v="163.6K"/>
    <x v="262"/>
    <n v="125000"/>
    <n v="163600"/>
    <n v="2.3674242424242425E-3"/>
  </r>
  <r>
    <s v="kehlani"/>
    <n v="342"/>
    <x v="79"/>
    <s v="14M"/>
    <x v="2"/>
    <s v="392.3K"/>
    <s v="611.8K"/>
    <x v="177"/>
    <n v="392300"/>
    <n v="611800"/>
    <n v="2.8021428571428572E-2"/>
  </r>
  <r>
    <s v="manchesterunited"/>
    <n v="343"/>
    <x v="0"/>
    <s v="59M"/>
    <x v="20"/>
    <s v="92.3K"/>
    <s v="145.2K"/>
    <x v="263"/>
    <n v="92300"/>
    <n v="145200"/>
    <n v="1.5644067796610169E-3"/>
  </r>
  <r>
    <s v="peytonlist"/>
    <n v="344"/>
    <x v="8"/>
    <s v="20.2M"/>
    <x v="2"/>
    <s v="281.8K"/>
    <s v="422.7K"/>
    <x v="264"/>
    <n v="281800"/>
    <n v="422700"/>
    <n v="1.3950495049504951E-2"/>
  </r>
  <r>
    <s v="wi__wi__wi"/>
    <n v="345"/>
    <x v="28"/>
    <s v="10.1M"/>
    <x v="5"/>
    <s v="691.6K"/>
    <s v="832.2K"/>
    <x v="265"/>
    <n v="691600"/>
    <n v="832200"/>
    <n v="6.8475247524752481E-2"/>
  </r>
  <r>
    <s v="dixiedamelio"/>
    <n v="346"/>
    <x v="80"/>
    <s v="25M"/>
    <x v="2"/>
    <s v="228.9K"/>
    <s v="335.5K"/>
    <x v="266"/>
    <n v="228900"/>
    <n v="335500"/>
    <n v="9.1559999999999992E-3"/>
  </r>
  <r>
    <s v="vinniehacker"/>
    <n v="347"/>
    <x v="9"/>
    <s v="5.8M"/>
    <x v="2"/>
    <s v="695.7K"/>
    <s v="1.5M"/>
    <x v="267"/>
    <n v="695700"/>
    <n v="1500000"/>
    <n v="0.11994827586206896"/>
  </r>
  <r>
    <s v="madhuridixitnene"/>
    <n v="348"/>
    <x v="16"/>
    <s v="32M"/>
    <x v="0"/>
    <s v="225.3K"/>
    <s v="259.6K"/>
    <x v="268"/>
    <n v="225300"/>
    <n v="259600.00000000003"/>
    <n v="7.040625E-3"/>
  </r>
  <r>
    <s v="mathildtantot"/>
    <n v="349"/>
    <x v="30"/>
    <s v="10.2M"/>
    <x v="2"/>
    <s v="533.1K"/>
    <s v="807K"/>
    <x v="215"/>
    <n v="533100"/>
    <n v="807000"/>
    <n v="5.2264705882352942E-2"/>
  </r>
  <r>
    <s v="keerthysureshofficial"/>
    <n v="350"/>
    <x v="81"/>
    <s v="13.4M"/>
    <x v="0"/>
    <s v="539.3K"/>
    <s v="616.3K"/>
    <x v="269"/>
    <n v="539300"/>
    <n v="616300"/>
    <n v="4.0246268656716419E-2"/>
  </r>
  <r>
    <s v="ibaillanos"/>
    <n v="351"/>
    <x v="20"/>
    <s v="7.8M"/>
    <x v="12"/>
    <s v="725.4K"/>
    <s v="1M"/>
    <x v="270"/>
    <n v="725400"/>
    <n v="1000000"/>
    <n v="9.2999999999999999E-2"/>
  </r>
  <r>
    <s v="easymoneysniper"/>
    <n v="352"/>
    <x v="47"/>
    <s v="13.1M"/>
    <x v="2"/>
    <s v="325.4K"/>
    <s v="610.9K"/>
    <x v="231"/>
    <n v="325400"/>
    <n v="610900"/>
    <n v="2.483969465648855E-2"/>
  </r>
  <r>
    <s v="michelleobama"/>
    <n v="353"/>
    <x v="82"/>
    <s v="50.3M"/>
    <x v="2"/>
    <s v="144.7K"/>
    <s v="159.8K"/>
    <x v="271"/>
    <n v="144700"/>
    <n v="159800"/>
    <n v="2.8767395626242546E-3"/>
  </r>
  <r>
    <s v="ross_lynch"/>
    <n v="354"/>
    <x v="16"/>
    <s v="10.2M"/>
    <x v="2"/>
    <s v="392.6K"/>
    <s v="783.8K"/>
    <x v="215"/>
    <n v="392600"/>
    <n v="783800"/>
    <n v="3.849019607843137E-2"/>
  </r>
  <r>
    <s v="attahalilintar"/>
    <n v="355"/>
    <x v="83"/>
    <s v="23.9M"/>
    <x v="4"/>
    <s v="243.2K"/>
    <s v="333.3K"/>
    <x v="272"/>
    <n v="243200"/>
    <n v="333300"/>
    <n v="1.0175732217573221E-2"/>
  </r>
  <r>
    <s v="lizgillz"/>
    <n v="356"/>
    <x v="16"/>
    <s v="14.1M"/>
    <x v="6"/>
    <s v="389.5K"/>
    <s v="563.7K"/>
    <x v="149"/>
    <n v="389500"/>
    <n v="563700"/>
    <n v="2.7624113475177306E-2"/>
  </r>
  <r>
    <s v="cbum"/>
    <n v="357"/>
    <x v="84"/>
    <s v="9M"/>
    <x v="2"/>
    <s v="542K"/>
    <s v="895K"/>
    <x v="194"/>
    <n v="542000"/>
    <n v="895000"/>
    <n v="6.0222222222222226E-2"/>
  </r>
  <r>
    <s v="hassan_reyvandi"/>
    <n v="358"/>
    <x v="85"/>
    <s v="19.5M"/>
    <x v="14"/>
    <s v="296.5K"/>
    <s v="410.2K"/>
    <x v="273"/>
    <n v="296500"/>
    <n v="410200"/>
    <n v="1.5205128205128204E-2"/>
  </r>
  <r>
    <s v="nicki.nicole"/>
    <n v="359"/>
    <x v="3"/>
    <s v="12.2M"/>
    <x v="1"/>
    <s v="439K"/>
    <s v="649.5K"/>
    <x v="274"/>
    <n v="439000"/>
    <n v="649500"/>
    <n v="3.5983606557377049E-2"/>
  </r>
  <r>
    <s v="demirose"/>
    <n v="360"/>
    <x v="86"/>
    <s v="19.9M"/>
    <x v="2"/>
    <s v="305.4K"/>
    <s v="398.2K"/>
    <x v="275"/>
    <n v="305400"/>
    <n v="398200"/>
    <n v="1.5346733668341708E-2"/>
  </r>
  <r>
    <s v="natashawilona12"/>
    <n v="361"/>
    <x v="19"/>
    <s v="38.9M"/>
    <x v="4"/>
    <s v="170.1K"/>
    <s v="200.7K"/>
    <x v="276"/>
    <n v="170100"/>
    <n v="200700"/>
    <n v="4.3727506426735219E-3"/>
  </r>
  <r>
    <s v="lexibrookerivera"/>
    <n v="362"/>
    <x v="39"/>
    <s v="8.5M"/>
    <x v="2"/>
    <s v="765K"/>
    <s v="956.8K"/>
    <x v="160"/>
    <n v="765000"/>
    <n v="956800"/>
    <n v="0.09"/>
  </r>
  <r>
    <s v="thebursin"/>
    <n v="363"/>
    <x v="8"/>
    <s v="10.7M"/>
    <x v="7"/>
    <s v="567.8K"/>
    <s v="741.7K"/>
    <x v="168"/>
    <n v="567800"/>
    <n v="741700"/>
    <n v="5.3065420560747666E-2"/>
  </r>
  <r>
    <s v="imouniroy"/>
    <n v="364"/>
    <x v="8"/>
    <s v="23.9M"/>
    <x v="0"/>
    <s v="267.8K"/>
    <s v="324.4K"/>
    <x v="272"/>
    <n v="267800"/>
    <n v="324400"/>
    <n v="1.1205020920502093E-2"/>
  </r>
  <r>
    <s v="yasmine_sabri"/>
    <n v="365"/>
    <x v="27"/>
    <s v="19.4M"/>
    <x v="10"/>
    <s v="286.1K"/>
    <s v="401.7K"/>
    <x v="277"/>
    <n v="286100"/>
    <n v="401700"/>
    <n v="1.4747422680412372E-2"/>
  </r>
  <r>
    <s v="kevinhart4real"/>
    <n v="366"/>
    <x v="8"/>
    <s v="148.8M"/>
    <x v="2"/>
    <s v="35.5K"/>
    <s v="52.3K"/>
    <x v="278"/>
    <n v="35500"/>
    <n v="52300"/>
    <n v="2.3857526881720429E-4"/>
  </r>
  <r>
    <s v="sidmalhotra"/>
    <n v="367"/>
    <x v="34"/>
    <s v="19.9M"/>
    <x v="0"/>
    <s v="311.5K"/>
    <s v="387.1K"/>
    <x v="275"/>
    <n v="311500"/>
    <n v="387100"/>
    <n v="1.565326633165829E-2"/>
  </r>
  <r>
    <s v="sommerray"/>
    <n v="368"/>
    <x v="29"/>
    <s v="26.5M"/>
    <x v="2"/>
    <s v="184.7K"/>
    <s v="289.8K"/>
    <x v="279"/>
    <n v="184700"/>
    <n v="289800"/>
    <n v="6.9698113207547173E-3"/>
  </r>
  <r>
    <s v="brunamarquezine"/>
    <n v="369"/>
    <x v="8"/>
    <s v="43.1M"/>
    <x v="3"/>
    <s v="105.1K"/>
    <s v="181.8K"/>
    <x v="280"/>
    <n v="105100"/>
    <n v="181800"/>
    <n v="2.4385150812064964E-3"/>
  </r>
  <r>
    <s v="miguel.g.herran"/>
    <n v="370"/>
    <x v="8"/>
    <s v="14.1M"/>
    <x v="3"/>
    <s v="362.2K"/>
    <s v="545.5K"/>
    <x v="149"/>
    <n v="362200"/>
    <n v="545500"/>
    <n v="2.5687943262411347E-2"/>
  </r>
  <r>
    <s v="louispartridge_"/>
    <n v="371"/>
    <x v="8"/>
    <s v="7.6M"/>
    <x v="2"/>
    <s v="691.5K"/>
    <s v="1M"/>
    <x v="212"/>
    <n v="691500"/>
    <n v="1000000"/>
    <n v="9.0986842105263158E-2"/>
  </r>
  <r>
    <s v="pubity"/>
    <n v="372"/>
    <x v="65"/>
    <s v="31.8M"/>
    <x v="2"/>
    <s v="166K"/>
    <s v="241.7K"/>
    <x v="129"/>
    <n v="166000"/>
    <n v="241700"/>
    <n v="5.2201257861635222E-3"/>
  </r>
  <r>
    <s v="taina"/>
    <n v="373"/>
    <x v="3"/>
    <s v="16M"/>
    <x v="3"/>
    <s v="227.9K"/>
    <s v="475.5K"/>
    <x v="137"/>
    <n v="227900"/>
    <n v="475500"/>
    <n v="1.4243749999999999E-2"/>
  </r>
  <r>
    <s v="alok"/>
    <n v="374"/>
    <x v="77"/>
    <s v="27.7M"/>
    <x v="3"/>
    <s v="215K"/>
    <s v="275.5K"/>
    <x v="281"/>
    <n v="215000"/>
    <n v="275500"/>
    <n v="7.7617328519855597E-3"/>
  </r>
  <r>
    <s v="camilo"/>
    <n v="375"/>
    <x v="3"/>
    <s v="27.5M"/>
    <x v="1"/>
    <s v="173.6K"/>
    <s v="275.4K"/>
    <x v="282"/>
    <n v="173600"/>
    <n v="275400"/>
    <n v="6.3127272727272728E-3"/>
  </r>
  <r>
    <s v="alwaysramcharan"/>
    <n v="376"/>
    <x v="8"/>
    <s v="8.1M"/>
    <x v="0"/>
    <s v="842.7K"/>
    <s v="944K"/>
    <x v="283"/>
    <n v="842700"/>
    <n v="944000"/>
    <n v="0.10403703703703704"/>
  </r>
  <r>
    <s v="lilyjcollins"/>
    <n v="377"/>
    <x v="8"/>
    <s v="27M"/>
    <x v="2"/>
    <s v="186.7K"/>
    <s v="277.6K"/>
    <x v="48"/>
    <n v="186700"/>
    <n v="277600"/>
    <n v="6.9148148148148146E-3"/>
  </r>
  <r>
    <s v="lilnasx"/>
    <n v="378"/>
    <x v="3"/>
    <s v="12.5M"/>
    <x v="2"/>
    <s v="358.9K"/>
    <s v="600.8K"/>
    <x v="233"/>
    <n v="358900"/>
    <n v="600800"/>
    <n v="2.8712000000000001E-2"/>
  </r>
  <r>
    <s v="sportscenter"/>
    <n v="379"/>
    <x v="87"/>
    <s v="31.3M"/>
    <x v="2"/>
    <s v="132.9K"/>
    <s v="239.6K"/>
    <x v="196"/>
    <n v="132900"/>
    <n v="239600"/>
    <n v="4.246006389776358E-3"/>
  </r>
  <r>
    <s v="phil.coutinho"/>
    <n v="380"/>
    <x v="0"/>
    <s v="25M"/>
    <x v="3"/>
    <s v="182.8K"/>
    <s v="297.7K"/>
    <x v="266"/>
    <n v="182800"/>
    <n v="297700"/>
    <n v="7.3119999999999999E-3"/>
  </r>
  <r>
    <s v="thenotoriousmma"/>
    <n v="381"/>
    <x v="84"/>
    <s v="45.8M"/>
    <x v="2"/>
    <s v="110.9K"/>
    <s v="162.9K"/>
    <x v="46"/>
    <n v="110900"/>
    <n v="162900"/>
    <n v="2.4213973799126639E-3"/>
  </r>
  <r>
    <s v="ms_puiyi"/>
    <n v="382"/>
    <x v="88"/>
    <s v="18.7M"/>
    <x v="2"/>
    <s v="309.1K"/>
    <s v="395.8K"/>
    <x v="224"/>
    <n v="309100"/>
    <n v="395800"/>
    <n v="1.6529411764705883E-2"/>
  </r>
  <r>
    <s v="mo.on_air"/>
    <n v="383"/>
    <x v="3"/>
    <s v="4.9M"/>
    <x v="4"/>
    <s v="1.3M"/>
    <s v="1.5M"/>
    <x v="284"/>
    <n v="1300000"/>
    <n v="1500000"/>
    <n v="0.26530612244897961"/>
  </r>
  <r>
    <s v="nickjonas"/>
    <n v="384"/>
    <x v="77"/>
    <s v="32.9M"/>
    <x v="2"/>
    <s v="155.5K"/>
    <s v="222.3K"/>
    <x v="60"/>
    <n v="155500"/>
    <n v="222300"/>
    <n v="4.7264437689969602E-3"/>
  </r>
  <r>
    <s v="hyunah_aa"/>
    <n v="385"/>
    <x v="3"/>
    <s v="18.1M"/>
    <x v="5"/>
    <s v="339.4K"/>
    <s v="402.9K"/>
    <x v="285"/>
    <n v="339400"/>
    <n v="402900"/>
    <n v="1.8751381215469612E-2"/>
  </r>
  <r>
    <s v="todayis_wendy"/>
    <n v="386"/>
    <x v="3"/>
    <s v="6.9M"/>
    <x v="4"/>
    <s v="892.2K"/>
    <s v="1.1M"/>
    <x v="180"/>
    <n v="892200"/>
    <n v="1100000"/>
    <n v="0.12930434782608696"/>
  </r>
  <r>
    <s v="weareone.exo"/>
    <n v="387"/>
    <x v="3"/>
    <s v="10M"/>
    <x v="4"/>
    <s v="579.8K"/>
    <s v="727.9K"/>
    <x v="201"/>
    <n v="579800"/>
    <n v="727900"/>
    <n v="5.7979999999999997E-2"/>
  </r>
  <r>
    <s v="lildurk"/>
    <n v="388"/>
    <x v="77"/>
    <s v="13.9M"/>
    <x v="2"/>
    <s v="186.2K"/>
    <s v="524.5K"/>
    <x v="286"/>
    <n v="186200"/>
    <n v="524500"/>
    <n v="1.339568345323741E-2"/>
  </r>
  <r>
    <s v="hunterschafer"/>
    <n v="389"/>
    <x v="61"/>
    <s v="7.3M"/>
    <x v="2"/>
    <s v="606.2K"/>
    <s v="998.2K"/>
    <x v="246"/>
    <n v="606200"/>
    <n v="998200"/>
    <n v="8.3041095890410963E-2"/>
  </r>
  <r>
    <s v="sadiomaneofficiel"/>
    <n v="390"/>
    <x v="0"/>
    <s v="11.6M"/>
    <x v="20"/>
    <s v="435.7K"/>
    <s v="621.8K"/>
    <x v="257"/>
    <n v="435700"/>
    <n v="621800"/>
    <n v="3.756034482758621E-2"/>
  </r>
  <r>
    <s v="9gag"/>
    <n v="391"/>
    <x v="65"/>
    <s v="58.2M"/>
    <x v="4"/>
    <s v="95.7K"/>
    <s v="123.4K"/>
    <x v="287"/>
    <n v="95700"/>
    <n v="123400"/>
    <n v="1.6443298969072164E-3"/>
  </r>
  <r>
    <s v="for_everyoung10"/>
    <n v="392"/>
    <x v="9"/>
    <s v="5.1M"/>
    <x v="4"/>
    <s v="1.1M"/>
    <s v="1.4M"/>
    <x v="288"/>
    <n v="1100000"/>
    <n v="1400000"/>
    <n v="0.21568627450980393"/>
  </r>
  <r>
    <s v="caradelevingne"/>
    <n v="393"/>
    <x v="57"/>
    <s v="43M"/>
    <x v="2"/>
    <s v="120K"/>
    <s v="166.5K"/>
    <x v="28"/>
    <n v="120000"/>
    <n v="166500"/>
    <n v="2.7906976744186047E-3"/>
  </r>
  <r>
    <s v="euphoria"/>
    <n v="394"/>
    <x v="61"/>
    <s v="7.9M"/>
    <x v="2"/>
    <s v="566.2K"/>
    <s v="913.7K"/>
    <x v="289"/>
    <n v="566200"/>
    <n v="913700"/>
    <n v="7.1670886075949361E-2"/>
  </r>
  <r>
    <s v="saweetie"/>
    <n v="395"/>
    <x v="8"/>
    <s v="13.2M"/>
    <x v="2"/>
    <s v="233.7K"/>
    <s v="542.6K"/>
    <x v="290"/>
    <n v="233700"/>
    <n v="542600"/>
    <n v="1.7704545454545455E-2"/>
  </r>
  <r>
    <s v="daquan"/>
    <n v="396"/>
    <x v="65"/>
    <s v="16.8M"/>
    <x v="2"/>
    <s v="272.4K"/>
    <s v="420.3K"/>
    <x v="124"/>
    <n v="272400"/>
    <n v="420300"/>
    <n v="1.6214285714285716E-2"/>
  </r>
  <r>
    <s v="i_m_hendery"/>
    <n v="397"/>
    <x v="61"/>
    <s v="6.2M"/>
    <x v="2"/>
    <s v="891.4K"/>
    <s v="1.2M"/>
    <x v="291"/>
    <n v="891400"/>
    <n v="1200000"/>
    <n v="0.14377419354838711"/>
  </r>
  <r>
    <s v="darshanravaldz"/>
    <n v="398"/>
    <x v="3"/>
    <s v="15.3M"/>
    <x v="0"/>
    <s v="384.9K"/>
    <s v="465.2K"/>
    <x v="219"/>
    <n v="384900"/>
    <n v="465200"/>
    <n v="2.5156862745098041E-2"/>
  </r>
  <r>
    <s v="jadepicon"/>
    <n v="399"/>
    <x v="2"/>
    <s v="20.7M"/>
    <x v="3"/>
    <s v="160.1K"/>
    <s v="354.7K"/>
    <x v="144"/>
    <n v="160100"/>
    <n v="354700"/>
    <n v="7.7342995169082124E-3"/>
  </r>
  <r>
    <s v="barbieferreira"/>
    <n v="400"/>
    <x v="89"/>
    <s v="6.3M"/>
    <x v="2"/>
    <s v="620K"/>
    <s v="1.1M"/>
    <x v="292"/>
    <n v="620000"/>
    <n v="1100000"/>
    <n v="9.841269841269841E-2"/>
  </r>
  <r>
    <s v="kyo1122"/>
    <n v="403"/>
    <x v="8"/>
    <s v="13.3M"/>
    <x v="4"/>
    <s v="411.6K"/>
    <s v="524.4K"/>
    <x v="293"/>
    <n v="411600"/>
    <n v="524400"/>
    <n v="3.0947368421052633E-2"/>
  </r>
  <r>
    <s v="rakulpreet"/>
    <n v="405"/>
    <x v="34"/>
    <s v="22.1M"/>
    <x v="0"/>
    <s v="267.5K"/>
    <s v="314.5K"/>
    <x v="197"/>
    <n v="267500"/>
    <n v="314500"/>
    <n v="1.2104072398190046E-2"/>
  </r>
  <r>
    <s v="leaelui"/>
    <n v="406"/>
    <x v="15"/>
    <s v="11.6M"/>
    <x v="0"/>
    <s v="358.1K"/>
    <s v="602.1K"/>
    <x v="257"/>
    <n v="358100"/>
    <n v="602100"/>
    <n v="3.0870689655172413E-2"/>
  </r>
  <r>
    <s v="simoneses"/>
    <n v="407"/>
    <x v="3"/>
    <s v="34.8M"/>
    <x v="3"/>
    <s v="157.9K"/>
    <s v="200K"/>
    <x v="294"/>
    <n v="157900"/>
    <n v="200000"/>
    <n v="4.5373563218390808E-3"/>
  </r>
  <r>
    <s v="marvelstudios"/>
    <n v="408"/>
    <x v="90"/>
    <s v="37.4M"/>
    <x v="0"/>
    <s v="163.6K"/>
    <s v="183K"/>
    <x v="16"/>
    <n v="163600"/>
    <n v="183000"/>
    <n v="4.3743315508021387E-3"/>
  </r>
  <r>
    <s v="angeldimariajm"/>
    <n v="409"/>
    <x v="0"/>
    <s v="17.9M"/>
    <x v="1"/>
    <s v="259.6K"/>
    <s v="381.9K"/>
    <x v="202"/>
    <n v="259600.00000000003"/>
    <n v="381900"/>
    <n v="1.4502793296089387E-2"/>
  </r>
  <r>
    <s v="juliette"/>
    <n v="410"/>
    <x v="8"/>
    <s v="33.7M"/>
    <x v="3"/>
    <s v="130.6K"/>
    <s v="207.7K"/>
    <x v="295"/>
    <n v="130600"/>
    <n v="207700"/>
    <n v="3.8753709198813056E-3"/>
  </r>
  <r>
    <s v="mingue.k"/>
    <n v="411"/>
    <x v="62"/>
    <s v="5.8M"/>
    <x v="4"/>
    <s v="990.9K"/>
    <s v="1.2M"/>
    <x v="267"/>
    <n v="990900"/>
    <n v="1200000"/>
    <n v="0.17084482758620689"/>
  </r>
  <r>
    <s v="obj"/>
    <n v="412"/>
    <x v="0"/>
    <s v="16.2M"/>
    <x v="2"/>
    <s v="219K"/>
    <s v="416K"/>
    <x v="296"/>
    <n v="219000"/>
    <n v="416000"/>
    <n v="1.3518518518518518E-2"/>
  </r>
  <r>
    <s v="goar_avetisyan"/>
    <n v="413"/>
    <x v="19"/>
    <s v="11.6M"/>
    <x v="7"/>
    <s v="421.3K"/>
    <s v="583.1K"/>
    <x v="257"/>
    <n v="421300"/>
    <n v="583100"/>
    <n v="3.6318965517241376E-2"/>
  </r>
  <r>
    <s v="yerimiese"/>
    <n v="414"/>
    <x v="9"/>
    <s v="10.7M"/>
    <x v="4"/>
    <s v="506K"/>
    <s v="627.3K"/>
    <x v="168"/>
    <n v="506000"/>
    <n v="627300"/>
    <n v="4.7289719626168222E-2"/>
  </r>
  <r>
    <s v="demetozdemir"/>
    <n v="415"/>
    <x v="8"/>
    <s v="15.3M"/>
    <x v="0"/>
    <s v="344.4K"/>
    <s v="439.5K"/>
    <x v="219"/>
    <n v="344400"/>
    <n v="439500"/>
    <n v="2.2509803921568629E-2"/>
  </r>
  <r>
    <s v="burakozcivit"/>
    <n v="416"/>
    <x v="8"/>
    <s v="21.6M"/>
    <x v="11"/>
    <s v="255.6K"/>
    <s v="309.6K"/>
    <x v="76"/>
    <n v="255600"/>
    <n v="309600"/>
    <n v="1.1833333333333333E-2"/>
  </r>
  <r>
    <s v="gururandhawa"/>
    <n v="417"/>
    <x v="3"/>
    <s v="32.8M"/>
    <x v="0"/>
    <s v="163.9K"/>
    <s v="201.6K"/>
    <x v="222"/>
    <n v="163900"/>
    <n v="201600"/>
    <n v="4.9969512195121961E-3"/>
  </r>
  <r>
    <s v="dntlrdl"/>
    <n v="418"/>
    <x v="9"/>
    <s v="6.5M"/>
    <x v="4"/>
    <s v="791.2K"/>
    <s v="1M"/>
    <x v="244"/>
    <n v="791200"/>
    <n v="1000000"/>
    <n v="0.12172307692307692"/>
  </r>
  <r>
    <s v="yangyang_x2"/>
    <n v="419"/>
    <x v="3"/>
    <s v="6.4M"/>
    <x v="4"/>
    <s v="833.1K"/>
    <s v="1.1M"/>
    <x v="297"/>
    <n v="833100"/>
    <n v="1100000"/>
    <n v="0.13017187499999999"/>
  </r>
  <r>
    <s v="rachel_mypark"/>
    <n v="420"/>
    <x v="8"/>
    <s v="10.2M"/>
    <x v="4"/>
    <s v="519.3K"/>
    <s v="647K"/>
    <x v="215"/>
    <n v="519299.99999999994"/>
    <n v="647000"/>
    <n v="5.0911764705882344E-2"/>
  </r>
  <r>
    <s v="parishilton"/>
    <n v="421"/>
    <x v="29"/>
    <s v="19.6M"/>
    <x v="2"/>
    <s v="202.5K"/>
    <s v="334.2K"/>
    <x v="298"/>
    <n v="202500"/>
    <n v="334200"/>
    <n v="1.0331632653061225E-2"/>
  </r>
  <r>
    <s v="jhope_bighitentertainment"/>
    <n v="422"/>
    <x v="9"/>
    <s v="7.9M"/>
    <x v="3"/>
    <s v="753.3K"/>
    <s v="825.8K"/>
    <x v="289"/>
    <n v="753300"/>
    <n v="825800"/>
    <n v="9.5354430379746835E-2"/>
  </r>
  <r>
    <s v="evcenf"/>
    <n v="423"/>
    <x v="91"/>
    <s v="13.2M"/>
    <x v="11"/>
    <s v="389.6K"/>
    <s v="491.5K"/>
    <x v="290"/>
    <n v="389600"/>
    <n v="491500"/>
    <n v="2.9515151515151515E-2"/>
  </r>
  <r>
    <s v="iynemliarasbulut"/>
    <n v="424"/>
    <x v="27"/>
    <s v="10.3M"/>
    <x v="11"/>
    <s v="447.9K"/>
    <s v="626.1K"/>
    <x v="169"/>
    <n v="447900"/>
    <n v="626100"/>
    <n v="4.3485436893203881E-2"/>
  </r>
  <r>
    <s v="yejinhand"/>
    <n v="425"/>
    <x v="8"/>
    <s v="6.9M"/>
    <x v="4"/>
    <s v="719.2K"/>
    <s v="935.8K"/>
    <x v="180"/>
    <n v="719200"/>
    <n v="935800"/>
    <n v="0.10423188405797101"/>
  </r>
  <r>
    <s v="jin_bighitentertainment"/>
    <n v="426"/>
    <x v="9"/>
    <s v="8.2M"/>
    <x v="4"/>
    <s v="685.5K"/>
    <s v="779.5K"/>
    <x v="235"/>
    <n v="685500"/>
    <n v="779500"/>
    <n v="8.3597560975609761E-2"/>
  </r>
  <r>
    <s v="thibautcourtois"/>
    <n v="427"/>
    <x v="0"/>
    <s v="10.7M"/>
    <x v="12"/>
    <s v="406.4K"/>
    <s v="589.8K"/>
    <x v="168"/>
    <n v="406400"/>
    <n v="589800"/>
    <n v="3.7981308411214956E-2"/>
  </r>
  <r>
    <s v="kun11xd"/>
    <n v="428"/>
    <x v="9"/>
    <s v="6.7M"/>
    <x v="4"/>
    <s v="758.3K"/>
    <s v="947.1K"/>
    <x v="299"/>
    <n v="758300"/>
    <n v="947100"/>
    <n v="0.11317910447761194"/>
  </r>
  <r>
    <s v="sonamkapoor"/>
    <n v="429"/>
    <x v="92"/>
    <s v="33.1M"/>
    <x v="0"/>
    <s v="159.5K"/>
    <s v="189.3K"/>
    <x v="181"/>
    <n v="159500"/>
    <n v="189300"/>
    <n v="4.8187311178247731E-3"/>
  </r>
  <r>
    <s v="_shotaroo_"/>
    <n v="430"/>
    <x v="28"/>
    <s v="5.4M"/>
    <x v="4"/>
    <s v="907.2K"/>
    <s v="1.2M"/>
    <x v="300"/>
    <n v="907200"/>
    <n v="1200000"/>
    <n v="0.16800000000000001"/>
  </r>
  <r>
    <s v="raphaelvarane"/>
    <n v="431"/>
    <x v="0"/>
    <s v="19.1M"/>
    <x v="12"/>
    <s v="217.3K"/>
    <s v="326.9K"/>
    <x v="166"/>
    <n v="217300"/>
    <n v="326900"/>
    <n v="1.137696335078534E-2"/>
  </r>
  <r>
    <s v="pugachevmark"/>
    <n v="432"/>
    <x v="93"/>
    <s v="14.1M"/>
    <x v="7"/>
    <s v="300.3K"/>
    <s v="441K"/>
    <x v="149"/>
    <n v="300300"/>
    <n v="441000"/>
    <n v="2.129787234042553E-2"/>
  </r>
  <r>
    <s v="shehnaazgill"/>
    <n v="433"/>
    <x v="22"/>
    <s v="11.6M"/>
    <x v="0"/>
    <s v="463.7K"/>
    <s v="586.7K"/>
    <x v="257"/>
    <n v="463700"/>
    <n v="586700"/>
    <n v="3.9974137931034485E-2"/>
  </r>
  <r>
    <s v="thenewclassic"/>
    <n v="434"/>
    <x v="3"/>
    <s v="16.4M"/>
    <x v="2"/>
    <s v="234.9K"/>
    <s v="379.8K"/>
    <x v="301"/>
    <n v="234900"/>
    <n v="379800"/>
    <n v="1.4323170731707319E-2"/>
  </r>
  <r>
    <s v="vanessahudgens"/>
    <n v="435"/>
    <x v="8"/>
    <s v="46.4M"/>
    <x v="2"/>
    <s v="82K"/>
    <s v="133.6K"/>
    <x v="302"/>
    <n v="82000"/>
    <n v="133600"/>
    <n v="1.7672413793103448E-3"/>
  </r>
  <r>
    <s v="mariabecerra"/>
    <n v="436"/>
    <x v="3"/>
    <s v="9.8M"/>
    <x v="1"/>
    <s v="271.8K"/>
    <s v="641.3K"/>
    <x v="153"/>
    <n v="271800"/>
    <n v="641300"/>
    <n v="2.7734693877551019E-2"/>
  </r>
  <r>
    <s v="jennaortega"/>
    <n v="437"/>
    <x v="27"/>
    <s v="8.2M"/>
    <x v="2"/>
    <s v="538.9K"/>
    <s v="767.8K"/>
    <x v="235"/>
    <n v="538900"/>
    <n v="767800"/>
    <n v="6.5719512195121954E-2"/>
  </r>
  <r>
    <s v="aron.piper"/>
    <n v="438"/>
    <x v="7"/>
    <s v="13.9M"/>
    <x v="3"/>
    <s v="235.9K"/>
    <s v="444.8K"/>
    <x v="286"/>
    <n v="235900"/>
    <n v="444800"/>
    <n v="1.6971223021582733E-2"/>
  </r>
  <r>
    <s v="_seorina"/>
    <n v="439"/>
    <x v="46"/>
    <s v="6M"/>
    <x v="5"/>
    <s v="840.1K"/>
    <s v="1M"/>
    <x v="303"/>
    <n v="840100"/>
    <n v="1000000"/>
    <n v="0.14001666666666668"/>
  </r>
  <r>
    <s v="teddysphotos"/>
    <n v="440"/>
    <x v="3"/>
    <s v="39.5M"/>
    <x v="2"/>
    <s v="113.4K"/>
    <s v="155.2K"/>
    <x v="304"/>
    <n v="113400"/>
    <n v="155200"/>
    <n v="2.870886075949367E-3"/>
  </r>
  <r>
    <s v="larissamanoela"/>
    <n v="441"/>
    <x v="8"/>
    <s v="46.1M"/>
    <x v="3"/>
    <s v="80.8K"/>
    <s v="132.8K"/>
    <x v="305"/>
    <n v="80800"/>
    <n v="132800"/>
    <n v="1.752711496746204E-3"/>
  </r>
  <r>
    <s v="paulwesley"/>
    <n v="442"/>
    <x v="8"/>
    <s v="12.3M"/>
    <x v="3"/>
    <s v="330.9K"/>
    <s v="494.3K"/>
    <x v="184"/>
    <n v="330900"/>
    <n v="494300"/>
    <n v="2.6902439024390244E-2"/>
  </r>
  <r>
    <s v="djxiao_888"/>
    <n v="443"/>
    <x v="3"/>
    <s v="6.9M"/>
    <x v="4"/>
    <s v="720.3K"/>
    <s v="901K"/>
    <x v="180"/>
    <n v="720300"/>
    <n v="901000"/>
    <n v="0.10439130434782609"/>
  </r>
  <r>
    <s v="parineetichopra"/>
    <n v="444"/>
    <x v="8"/>
    <s v="37M"/>
    <x v="0"/>
    <s v="141.3K"/>
    <s v="164.4K"/>
    <x v="159"/>
    <n v="141300"/>
    <n v="164400"/>
    <n v="3.818918918918919E-3"/>
  </r>
  <r>
    <s v="romeosantos"/>
    <n v="445"/>
    <x v="3"/>
    <s v="19.2M"/>
    <x v="2"/>
    <s v="259.7K"/>
    <s v="319.7K"/>
    <x v="306"/>
    <n v="259700"/>
    <n v="319700"/>
    <n v="1.3526041666666667E-2"/>
  </r>
  <r>
    <s v="duki"/>
    <n v="446"/>
    <x v="3"/>
    <s v="10.1M"/>
    <x v="1"/>
    <s v="390.5K"/>
    <s v="600.8K"/>
    <x v="265"/>
    <n v="390500"/>
    <n v="600800"/>
    <n v="3.8663366336633663E-2"/>
  </r>
  <r>
    <s v="conangray"/>
    <n v="447"/>
    <x v="3"/>
    <s v="6.4M"/>
    <x v="3"/>
    <s v="639.6K"/>
    <s v="955.4K"/>
    <x v="297"/>
    <n v="639600"/>
    <n v="955400"/>
    <n v="9.9937499999999999E-2"/>
  </r>
  <r>
    <s v="jessnolimit"/>
    <n v="448"/>
    <x v="62"/>
    <s v="7.3M"/>
    <x v="4"/>
    <s v="698.2K"/>
    <s v="836.5K"/>
    <x v="246"/>
    <n v="698200"/>
    <n v="836500"/>
    <n v="9.5643835616438355E-2"/>
  </r>
  <r>
    <s v="k.kbeom"/>
    <n v="449"/>
    <x v="8"/>
    <s v="5.3M"/>
    <x v="4"/>
    <s v="931.7K"/>
    <s v="1.1M"/>
    <x v="307"/>
    <n v="931700"/>
    <n v="1100000"/>
    <n v="0.17579245283018868"/>
  </r>
  <r>
    <s v="chiaraferragni"/>
    <n v="450"/>
    <x v="19"/>
    <s v="27.5M"/>
    <x v="9"/>
    <s v="129.4K"/>
    <s v="216.3K"/>
    <x v="282"/>
    <n v="129400"/>
    <n v="216300"/>
    <n v="4.7054545454545457E-3"/>
  </r>
  <r>
    <s v="nadin_serovski"/>
    <n v="451"/>
    <x v="60"/>
    <s v="9.4M"/>
    <x v="7"/>
    <s v="471.3K"/>
    <s v="648.7K"/>
    <x v="209"/>
    <n v="471300"/>
    <n v="648700"/>
    <n v="5.0138297872340427E-2"/>
  </r>
  <r>
    <s v="adamweitsman"/>
    <n v="452"/>
    <x v="94"/>
    <s v="17.5M"/>
    <x v="7"/>
    <s v="247K"/>
    <s v="337.4K"/>
    <x v="308"/>
    <n v="247000"/>
    <n v="337400"/>
    <n v="1.4114285714285715E-2"/>
  </r>
  <r>
    <s v="anupamaparameswaran96"/>
    <n v="453"/>
    <x v="8"/>
    <s v="12.2M"/>
    <x v="0"/>
    <s v="421.5K"/>
    <s v="482.2K"/>
    <x v="274"/>
    <n v="421500"/>
    <n v="482200"/>
    <n v="3.4549180327868856E-2"/>
  </r>
  <r>
    <s v="superstar_dewasi99"/>
    <n v="454"/>
    <x v="16"/>
    <s v="12.6M"/>
    <x v="0"/>
    <s v="297.1K"/>
    <s v="468.8K"/>
    <x v="120"/>
    <n v="297100"/>
    <n v="468800"/>
    <n v="2.3579365079365078E-2"/>
  </r>
  <r>
    <s v="offsetyrn"/>
    <n v="455"/>
    <x v="3"/>
    <s v="19.9M"/>
    <x v="2"/>
    <s v="165.6K"/>
    <s v="295.9K"/>
    <x v="275"/>
    <n v="165600"/>
    <n v="295900"/>
    <n v="8.3216080402010052E-3"/>
  </r>
  <r>
    <s v="juanpazurita"/>
    <n v="457"/>
    <x v="8"/>
    <s v="29.8M"/>
    <x v="6"/>
    <s v="138.3K"/>
    <s v="196.7K"/>
    <x v="309"/>
    <n v="138300"/>
    <n v="196700"/>
    <n v="4.640939597315436E-3"/>
  </r>
  <r>
    <s v="antogriezmann"/>
    <n v="458"/>
    <x v="0"/>
    <s v="36.4M"/>
    <x v="12"/>
    <s v="99.5K"/>
    <s v="160.9K"/>
    <x v="310"/>
    <n v="99500"/>
    <n v="160900"/>
    <n v="2.7335164835164834E-3"/>
  </r>
  <r>
    <s v="jungkook_bighitentertainment"/>
    <n v="459"/>
    <x v="75"/>
    <s v="9.5M"/>
    <x v="3"/>
    <s v="550.7K"/>
    <s v="624.9K"/>
    <x v="311"/>
    <n v="550700"/>
    <n v="624900"/>
    <n v="5.7968421052631579E-2"/>
  </r>
  <r>
    <s v="ana_d_armas"/>
    <n v="460"/>
    <x v="27"/>
    <s v="7.1M"/>
    <x v="2"/>
    <s v="616.3K"/>
    <s v="834K"/>
    <x v="312"/>
    <n v="616300"/>
    <n v="834000"/>
    <n v="8.6802816901408453E-2"/>
  </r>
  <r>
    <s v="dkharbour"/>
    <n v="461"/>
    <x v="8"/>
    <s v="8.5M"/>
    <x v="2"/>
    <s v="531.6K"/>
    <s v="696.7K"/>
    <x v="160"/>
    <n v="531600"/>
    <n v="696700"/>
    <n v="6.2541176470588239E-2"/>
  </r>
  <r>
    <s v="ldh_sky"/>
    <n v="462"/>
    <x v="8"/>
    <s v="5.6M"/>
    <x v="4"/>
    <s v="823.7K"/>
    <s v="1.1M"/>
    <x v="313"/>
    <n v="823700"/>
    <n v="1100000"/>
    <n v="0.14708928571428573"/>
  </r>
  <r>
    <s v="aboflah"/>
    <n v="463"/>
    <x v="65"/>
    <s v="7.4M"/>
    <x v="21"/>
    <s v="690.3K"/>
    <s v="829K"/>
    <x v="314"/>
    <n v="690300"/>
    <n v="829000"/>
    <n v="9.3283783783783783E-2"/>
  </r>
  <r>
    <s v="polo.capalot"/>
    <n v="464"/>
    <x v="7"/>
    <s v="10.5M"/>
    <x v="2"/>
    <s v="335.5K"/>
    <s v="551.7K"/>
    <x v="247"/>
    <n v="335500"/>
    <n v="551700"/>
    <n v="3.1952380952380954E-2"/>
  </r>
  <r>
    <s v="zefelipecantor"/>
    <n v="465"/>
    <x v="3"/>
    <s v="24.6M"/>
    <x v="3"/>
    <s v="134.5K"/>
    <s v="236.5K"/>
    <x v="102"/>
    <n v="134500"/>
    <n v="236500"/>
    <n v="5.4674796747967479E-3"/>
  </r>
  <r>
    <s v="yuyacst"/>
    <n v="466"/>
    <x v="29"/>
    <s v="17.2M"/>
    <x v="6"/>
    <s v="218.1K"/>
    <s v="334.7K"/>
    <x v="261"/>
    <n v="218100"/>
    <n v="334700"/>
    <n v="1.2680232558139534E-2"/>
  </r>
  <r>
    <s v="fuji_an"/>
    <n v="467"/>
    <x v="95"/>
    <s v="11.8M"/>
    <x v="4"/>
    <s v="205.4K"/>
    <s v="488.2K"/>
    <x v="315"/>
    <n v="205400"/>
    <n v="488200"/>
    <n v="1.740677966101695E-2"/>
  </r>
  <r>
    <s v="anahi"/>
    <n v="468"/>
    <x v="33"/>
    <s v="9.8M"/>
    <x v="3"/>
    <s v="344.7K"/>
    <s v="605K"/>
    <x v="153"/>
    <n v="344700"/>
    <n v="605000"/>
    <n v="3.5173469387755105E-2"/>
  </r>
  <r>
    <s v="kingbach"/>
    <n v="469"/>
    <x v="53"/>
    <s v="22.7M"/>
    <x v="2"/>
    <s v="126.4K"/>
    <s v="253.1K"/>
    <x v="316"/>
    <n v="126400"/>
    <n v="253100"/>
    <n v="5.5682819383259911E-3"/>
  </r>
  <r>
    <s v="yoona__lim"/>
    <n v="470"/>
    <x v="8"/>
    <s v="13.5M"/>
    <x v="4"/>
    <s v="352.9K"/>
    <s v="422.9K"/>
    <x v="174"/>
    <n v="352900"/>
    <n v="422900"/>
    <n v="2.6140740740740742E-2"/>
  </r>
  <r>
    <s v="gianlucavacchi"/>
    <n v="471"/>
    <x v="9"/>
    <s v="22.4M"/>
    <x v="3"/>
    <s v="166.3K"/>
    <s v="256.1K"/>
    <x v="254"/>
    <n v="166300"/>
    <n v="256100.00000000003"/>
    <n v="7.4241071428571429E-3"/>
  </r>
  <r>
    <s v="xavi"/>
    <n v="472"/>
    <x v="0"/>
    <s v="9M"/>
    <x v="12"/>
    <s v="428.7K"/>
    <s v="643K"/>
    <x v="194"/>
    <n v="428700"/>
    <n v="643000"/>
    <n v="4.7633333333333333E-2"/>
  </r>
  <r>
    <s v="anjimaxuofficially"/>
    <n v="473"/>
    <x v="9"/>
    <s v="11.5M"/>
    <x v="0"/>
    <s v="391.1K"/>
    <s v="499.7K"/>
    <x v="317"/>
    <n v="391100"/>
    <n v="499700"/>
    <n v="3.4008695652173911E-2"/>
  </r>
  <r>
    <s v="khabib_nurmagomedov"/>
    <n v="474"/>
    <x v="84"/>
    <s v="33.5M"/>
    <x v="7"/>
    <s v="119.8K"/>
    <s v="168.6K"/>
    <x v="318"/>
    <n v="119800"/>
    <n v="168600"/>
    <n v="3.5761194029850746E-3"/>
  </r>
  <r>
    <s v="jimmyfallon"/>
    <n v="475"/>
    <x v="39"/>
    <s v="22.4M"/>
    <x v="2"/>
    <s v="201.1K"/>
    <s v="251K"/>
    <x v="254"/>
    <n v="201100"/>
    <n v="251000"/>
    <n v="8.9776785714285722E-3"/>
  </r>
  <r>
    <s v="gusttavolima"/>
    <n v="476"/>
    <x v="3"/>
    <s v="43.8M"/>
    <x v="3"/>
    <s v="77.1K"/>
    <s v="129.7K"/>
    <x v="319"/>
    <n v="77100"/>
    <n v="129699.99999999999"/>
    <n v="1.7602739726027398E-3"/>
  </r>
  <r>
    <s v="julesleblanc"/>
    <n v="477"/>
    <x v="96"/>
    <s v="9.7M"/>
    <x v="2"/>
    <s v="404.2K"/>
    <s v="584.6K"/>
    <x v="320"/>
    <n v="404200"/>
    <n v="584600"/>
    <n v="4.1670103092783503E-2"/>
  </r>
  <r>
    <s v="ananyapanday"/>
    <n v="478"/>
    <x v="8"/>
    <s v="23M"/>
    <x v="0"/>
    <s v="207.2K"/>
    <s v="243.1K"/>
    <x v="69"/>
    <n v="207200"/>
    <n v="243100"/>
    <n v="9.0086956521739127E-3"/>
  </r>
  <r>
    <s v="nickyjam"/>
    <n v="479"/>
    <x v="3"/>
    <s v="43.4M"/>
    <x v="15"/>
    <s v="109.3K"/>
    <s v="129.6K"/>
    <x v="321"/>
    <n v="109300"/>
    <n v="129600"/>
    <n v="2.5184331797235022E-3"/>
  </r>
  <r>
    <s v="travisbarker"/>
    <n v="480"/>
    <x v="9"/>
    <s v="7.6M"/>
    <x v="2"/>
    <s v="521.8K"/>
    <s v="738.8K"/>
    <x v="212"/>
    <n v="521799.99999999994"/>
    <n v="738800"/>
    <n v="6.8657894736842098E-2"/>
  </r>
  <r>
    <s v="nikefootball"/>
    <n v="481"/>
    <x v="97"/>
    <s v="45.2M"/>
    <x v="3"/>
    <s v="79.1K"/>
    <s v="122.2K"/>
    <x v="322"/>
    <n v="79100"/>
    <n v="122200"/>
    <n v="1.75E-3"/>
  </r>
  <r>
    <s v="juansguarnizo"/>
    <n v="482"/>
    <x v="61"/>
    <s v="5.9M"/>
    <x v="6"/>
    <s v="873.7K"/>
    <s v="957.2K"/>
    <x v="243"/>
    <n v="873700"/>
    <n v="957200"/>
    <n v="0.14808474576271186"/>
  </r>
  <r>
    <s v="thehughjackman"/>
    <n v="483"/>
    <x v="8"/>
    <s v="30.5M"/>
    <x v="2"/>
    <s v="159.1K"/>
    <s v="180.9K"/>
    <x v="323"/>
    <n v="159100"/>
    <n v="180900"/>
    <n v="5.216393442622951E-3"/>
  </r>
  <r>
    <s v="c.syresmith"/>
    <n v="484"/>
    <x v="27"/>
    <s v="19.1M"/>
    <x v="2"/>
    <s v="186.6K"/>
    <s v="288.2K"/>
    <x v="166"/>
    <n v="186600"/>
    <n v="288200"/>
    <n v="9.7696335078534032E-3"/>
  </r>
  <r>
    <s v="itsmarziapie"/>
    <n v="485"/>
    <x v="98"/>
    <s v="8.3M"/>
    <x v="2"/>
    <s v="574.9K"/>
    <s v="671.6K"/>
    <x v="242"/>
    <n v="574900"/>
    <n v="671600"/>
    <n v="6.9265060240963849E-2"/>
  </r>
  <r>
    <s v="jailyneojeda"/>
    <n v="486"/>
    <x v="15"/>
    <s v="14.2M"/>
    <x v="2"/>
    <s v="280.5K"/>
    <s v="387.7K"/>
    <x v="229"/>
    <n v="280500"/>
    <n v="387700"/>
    <n v="1.9753521126760563E-2"/>
  </r>
  <r>
    <s v="yooncy1"/>
    <n v="487"/>
    <x v="61"/>
    <s v="4.9M"/>
    <x v="5"/>
    <s v="938.5K"/>
    <s v="1.1M"/>
    <x v="284"/>
    <n v="938500"/>
    <n v="1100000"/>
    <n v="0.19153061224489795"/>
  </r>
  <r>
    <s v="gioewbank"/>
    <n v="488"/>
    <x v="34"/>
    <s v="28.4M"/>
    <x v="3"/>
    <s v="121.2K"/>
    <s v="192.7K"/>
    <x v="324"/>
    <n v="121200"/>
    <n v="192700"/>
    <n v="4.2676056338028165E-3"/>
  </r>
  <r>
    <s v="indiancricketteam"/>
    <n v="489"/>
    <x v="0"/>
    <s v="24.6M"/>
    <x v="0"/>
    <s v="189.9K"/>
    <s v="221.4K"/>
    <x v="102"/>
    <n v="189900"/>
    <n v="221400"/>
    <n v="7.7195121951219511E-3"/>
  </r>
  <r>
    <s v="yugyeom"/>
    <n v="490"/>
    <x v="53"/>
    <s v="11.4M"/>
    <x v="19"/>
    <s v="373K"/>
    <s v="482.6K"/>
    <x v="325"/>
    <n v="373000"/>
    <n v="482600"/>
    <n v="3.2719298245614037E-2"/>
  </r>
  <r>
    <s v="deiveleonardo"/>
    <n v="491"/>
    <x v="99"/>
    <s v="11.7M"/>
    <x v="3"/>
    <s v="255.6K"/>
    <s v="470.9K"/>
    <x v="326"/>
    <n v="255600"/>
    <n v="470900"/>
    <n v="2.1846153846153845E-2"/>
  </r>
  <r>
    <s v="urvashirautela"/>
    <n v="492"/>
    <x v="8"/>
    <s v="53M"/>
    <x v="0"/>
    <s v="85.7K"/>
    <s v="103K"/>
    <x v="127"/>
    <n v="85700"/>
    <n v="103000"/>
    <n v="1.6169811320754716E-3"/>
  </r>
  <r>
    <s v="aliiiiiiiikarimi8"/>
    <n v="493"/>
    <x v="0"/>
    <s v="9.4M"/>
    <x v="14"/>
    <s v="390.5K"/>
    <s v="588K"/>
    <x v="209"/>
    <n v="390500"/>
    <n v="588000"/>
    <n v="4.1542553191489362E-2"/>
  </r>
  <r>
    <s v="fabriziorom"/>
    <n v="494"/>
    <x v="100"/>
    <s v="8.6M"/>
    <x v="9"/>
    <s v="368.5K"/>
    <s v="638K"/>
    <x v="327"/>
    <n v="368500"/>
    <n v="638000"/>
    <n v="4.2848837209302326E-2"/>
  </r>
  <r>
    <s v="sanchooo10"/>
    <n v="495"/>
    <x v="0"/>
    <s v="8.6M"/>
    <x v="20"/>
    <s v="362.9K"/>
    <s v="634K"/>
    <x v="327"/>
    <n v="362900"/>
    <n v="634000"/>
    <n v="4.2197674418604648E-2"/>
  </r>
  <r>
    <s v="joeyking"/>
    <n v="496"/>
    <x v="71"/>
    <s v="19M"/>
    <x v="3"/>
    <s v="195.5K"/>
    <s v="280.3K"/>
    <x v="116"/>
    <n v="195500"/>
    <n v="280300"/>
    <n v="1.0289473684210527E-2"/>
  </r>
  <r>
    <s v="nianaguerrero"/>
    <n v="497"/>
    <x v="101"/>
    <s v="14.2M"/>
    <x v="4"/>
    <s v="297.5K"/>
    <s v="373.3K"/>
    <x v="229"/>
    <n v="297500"/>
    <n v="373300"/>
    <n v="2.0950704225352113E-2"/>
  </r>
  <r>
    <s v="hshq"/>
    <n v="498"/>
    <x v="70"/>
    <s v="6.3M"/>
    <x v="2"/>
    <s v="488.2K"/>
    <s v="859K"/>
    <x v="292"/>
    <n v="488200"/>
    <n v="859000"/>
    <n v="7.7492063492063487E-2"/>
  </r>
  <r>
    <s v="lacasadepapel"/>
    <n v="499"/>
    <x v="50"/>
    <s v="12.8M"/>
    <x v="3"/>
    <s v="274.8K"/>
    <s v="412.7K"/>
    <x v="248"/>
    <n v="274800"/>
    <n v="412700"/>
    <n v="2.1468750000000002E-2"/>
  </r>
  <r>
    <s v="fcbayern"/>
    <n v="500"/>
    <x v="0"/>
    <s v="33.3M"/>
    <x v="22"/>
    <s v="109.2K"/>
    <s v="159.4K"/>
    <x v="328"/>
    <n v="109200"/>
    <n v="159400"/>
    <n v="3.2792792792792798E-3"/>
  </r>
  <r>
    <s v="choi_seung_hyun_tttop"/>
    <n v="501"/>
    <x v="3"/>
    <s v="14.3M"/>
    <x v="4"/>
    <s v="316.6K"/>
    <s v="374.6K"/>
    <x v="99"/>
    <n v="316600"/>
    <n v="374600"/>
    <n v="2.2139860139860138E-2"/>
  </r>
  <r>
    <s v="vousmevoyez"/>
    <n v="502"/>
    <x v="16"/>
    <s v="10.3M"/>
    <x v="4"/>
    <s v="393.9K"/>
    <s v="510.7K"/>
    <x v="169"/>
    <n v="393900"/>
    <n v="510700"/>
    <n v="3.8242718446601945E-2"/>
  </r>
  <r>
    <s v="pefabiodemelo"/>
    <n v="503"/>
    <x v="9"/>
    <s v="25.7M"/>
    <x v="3"/>
    <s v="137.5K"/>
    <s v="207.4K"/>
    <x v="175"/>
    <n v="137500"/>
    <n v="207400"/>
    <n v="5.350194552529183E-3"/>
  </r>
  <r>
    <s v="rahulkl"/>
    <n v="504"/>
    <x v="0"/>
    <s v="12.3M"/>
    <x v="0"/>
    <s v="366.1K"/>
    <s v="427.1K"/>
    <x v="184"/>
    <n v="366100"/>
    <n v="427100"/>
    <n v="2.9764227642276424E-2"/>
  </r>
  <r>
    <s v="donya"/>
    <n v="505"/>
    <x v="102"/>
    <s v="15.2M"/>
    <x v="14"/>
    <s v="231.4K"/>
    <s v="366.4K"/>
    <x v="214"/>
    <n v="231400"/>
    <n v="366400"/>
    <n v="1.5223684210526316E-2"/>
  </r>
  <r>
    <s v="sav.labrant"/>
    <n v="506"/>
    <x v="103"/>
    <s v="7.1M"/>
    <x v="2"/>
    <s v="556.4K"/>
    <s v="744.3K"/>
    <x v="312"/>
    <n v="556400"/>
    <n v="744300"/>
    <n v="7.836619718309859E-2"/>
  </r>
  <r>
    <s v="abdevilliers17"/>
    <n v="507"/>
    <x v="49"/>
    <s v="18.4M"/>
    <x v="0"/>
    <s v="245.3K"/>
    <s v="283.6K"/>
    <x v="250"/>
    <n v="245300"/>
    <n v="283600"/>
    <n v="1.3331521739130435E-2"/>
  </r>
  <r>
    <s v="arishfakhan138"/>
    <n v="508"/>
    <x v="8"/>
    <s v="29.3M"/>
    <x v="0"/>
    <s v="145.7K"/>
    <s v="177.9K"/>
    <x v="329"/>
    <n v="145700"/>
    <n v="177900"/>
    <n v="4.9726962457337888E-3"/>
  </r>
  <r>
    <s v="liamhemsworth"/>
    <n v="509"/>
    <x v="8"/>
    <s v="13.1M"/>
    <x v="2"/>
    <s v="275.9K"/>
    <s v="391.8K"/>
    <x v="231"/>
    <n v="275900"/>
    <n v="391800"/>
    <n v="2.1061068702290076E-2"/>
  </r>
  <r>
    <s v="iscoalarcon"/>
    <n v="510"/>
    <x v="0"/>
    <s v="24.9M"/>
    <x v="12"/>
    <s v="142.1K"/>
    <s v="205.9K"/>
    <x v="330"/>
    <n v="142100"/>
    <n v="205900"/>
    <n v="5.7068273092369479E-3"/>
  </r>
  <r>
    <s v="jimin_bighitentertainment"/>
    <n v="511"/>
    <x v="3"/>
    <s v="8.8M"/>
    <x v="4"/>
    <s v="528.2K"/>
    <s v="585.1K"/>
    <x v="331"/>
    <n v="528200"/>
    <n v="585100"/>
    <n v="6.0022727272727269E-2"/>
  </r>
  <r>
    <s v="lucasranngel"/>
    <n v="512"/>
    <x v="9"/>
    <s v="19.8M"/>
    <x v="3"/>
    <s v="116.9K"/>
    <s v="258.7K"/>
    <x v="193"/>
    <n v="116900"/>
    <n v="258700"/>
    <n v="5.9040404040404037E-3"/>
  </r>
  <r>
    <s v="dear.zia"/>
    <n v="513"/>
    <x v="9"/>
    <s v="3.7M"/>
    <x v="5"/>
    <s v="1.2M"/>
    <s v="1.4M"/>
    <x v="332"/>
    <n v="1200000"/>
    <n v="1400000"/>
    <n v="0.32432432432432434"/>
  </r>
  <r>
    <s v="hakkiakdenizz"/>
    <n v="514"/>
    <x v="94"/>
    <s v="23.5M"/>
    <x v="7"/>
    <s v="149.1K"/>
    <s v="215.1K"/>
    <x v="204"/>
    <n v="149100"/>
    <n v="215100"/>
    <n v="6.3446808510638298E-3"/>
  </r>
  <r>
    <s v="dra.deolanebezerra"/>
    <n v="515"/>
    <x v="9"/>
    <s v="14.4M"/>
    <x v="3"/>
    <s v="164.7K"/>
    <s v="352.9K"/>
    <x v="84"/>
    <n v="164700"/>
    <n v="352900"/>
    <n v="1.14375E-2"/>
  </r>
  <r>
    <s v="jokowi"/>
    <n v="516"/>
    <x v="104"/>
    <s v="47.4M"/>
    <x v="4"/>
    <s v="87.3K"/>
    <s v="107.2K"/>
    <x v="333"/>
    <n v="87300"/>
    <n v="107200"/>
    <n v="1.8417721518987342E-3"/>
  </r>
  <r>
    <s v="nusr_et"/>
    <n v="517"/>
    <x v="52"/>
    <s v="46.9M"/>
    <x v="11"/>
    <s v="73.6K"/>
    <s v="108.6K"/>
    <x v="334"/>
    <n v="73600"/>
    <n v="108600"/>
    <n v="1.5692963752665244E-3"/>
  </r>
  <r>
    <s v="fortnite"/>
    <n v="518"/>
    <x v="40"/>
    <s v="25.9M"/>
    <x v="2"/>
    <s v="165.2K"/>
    <s v="195.4K"/>
    <x v="335"/>
    <n v="165200"/>
    <n v="195400"/>
    <n v="6.3783783783783786E-3"/>
  </r>
  <r>
    <s v="loud_victor"/>
    <n v="519"/>
    <x v="47"/>
    <s v="10.7M"/>
    <x v="3"/>
    <s v="372.2K"/>
    <s v="474.1K"/>
    <x v="168"/>
    <n v="372200"/>
    <n v="474100"/>
    <n v="3.4785046728971959E-2"/>
  </r>
  <r>
    <s v="cvillaloboss"/>
    <n v="520"/>
    <x v="50"/>
    <s v="20.1M"/>
    <x v="15"/>
    <s v="204.1K"/>
    <s v="250.7K"/>
    <x v="336"/>
    <n v="204100"/>
    <n v="250700"/>
    <n v="1.0154228855721393E-2"/>
  </r>
  <r>
    <s v="dylansprouse"/>
    <n v="521"/>
    <x v="8"/>
    <s v="9.2M"/>
    <x v="2"/>
    <s v="351K"/>
    <s v="551.1K"/>
    <x v="337"/>
    <n v="351000"/>
    <n v="551100"/>
    <n v="3.8152173913043479E-2"/>
  </r>
  <r>
    <s v="melissamelmaia"/>
    <n v="522"/>
    <x v="3"/>
    <s v="12.9M"/>
    <x v="3"/>
    <s v="213.2K"/>
    <s v="386.6K"/>
    <x v="211"/>
    <n v="213200"/>
    <n v="386600"/>
    <n v="1.6527131782945736E-2"/>
  </r>
  <r>
    <s v="sofiaalcastro"/>
    <n v="523"/>
    <x v="105"/>
    <s v="8.8M"/>
    <x v="15"/>
    <s v="424.6K"/>
    <s v="577.9K"/>
    <x v="331"/>
    <n v="424600"/>
    <n v="577900"/>
    <n v="4.8250000000000001E-2"/>
  </r>
  <r>
    <s v="litkillah"/>
    <n v="524"/>
    <x v="3"/>
    <s v="7.9M"/>
    <x v="1"/>
    <s v="485.7K"/>
    <s v="640.4K"/>
    <x v="289"/>
    <n v="485700"/>
    <n v="640400"/>
    <n v="6.1481012658227849E-2"/>
  </r>
  <r>
    <s v="21savage"/>
    <n v="525"/>
    <x v="3"/>
    <s v="13.5M"/>
    <x v="2"/>
    <s v="210.6K"/>
    <s v="370.6K"/>
    <x v="174"/>
    <n v="210600"/>
    <n v="370600"/>
    <n v="1.5599999999999999E-2"/>
  </r>
  <r>
    <s v="amitabhbachchan"/>
    <n v="526"/>
    <x v="8"/>
    <s v="30.7M"/>
    <x v="0"/>
    <s v="141.4K"/>
    <s v="162.6K"/>
    <x v="136"/>
    <n v="141400"/>
    <n v="162600"/>
    <n v="4.6058631921824106E-3"/>
  </r>
  <r>
    <s v="maya_hawke"/>
    <n v="527"/>
    <x v="3"/>
    <s v="7.3M"/>
    <x v="2"/>
    <s v="501.7K"/>
    <s v="694.6K"/>
    <x v="246"/>
    <n v="501700"/>
    <n v="694600"/>
    <n v="6.8726027397260275E-2"/>
  </r>
  <r>
    <s v="tatawerneck"/>
    <n v="528"/>
    <x v="106"/>
    <s v="53.6M"/>
    <x v="3"/>
    <s v="58.9K"/>
    <s v="93.3K"/>
    <x v="338"/>
    <n v="58900"/>
    <n v="93300"/>
    <n v="1.0988805970149253E-3"/>
  </r>
  <r>
    <s v="viihtube"/>
    <n v="529"/>
    <x v="8"/>
    <s v="23.5M"/>
    <x v="3"/>
    <s v="112.1K"/>
    <s v="210.6K"/>
    <x v="204"/>
    <n v="112100"/>
    <n v="210600"/>
    <n v="4.770212765957447E-3"/>
  </r>
  <r>
    <s v="hm_son7"/>
    <n v="530"/>
    <x v="0"/>
    <s v="7.4M"/>
    <x v="3"/>
    <s v="417.3K"/>
    <s v="678.8K"/>
    <x v="314"/>
    <n v="417300"/>
    <n v="678800"/>
    <n v="5.6391891891891893E-2"/>
  </r>
  <r>
    <s v="davido"/>
    <n v="531"/>
    <x v="3"/>
    <s v="24.6M"/>
    <x v="23"/>
    <s v="148.4K"/>
    <s v="206.5K"/>
    <x v="102"/>
    <n v="148400"/>
    <n v="206500"/>
    <n v="6.0325203252032519E-3"/>
  </r>
  <r>
    <s v="leonardodicaprio"/>
    <n v="532"/>
    <x v="8"/>
    <s v="54.2M"/>
    <x v="2"/>
    <s v="74.3K"/>
    <s v="91.1K"/>
    <x v="339"/>
    <n v="74300"/>
    <n v="91100"/>
    <n v="1.3708487084870848E-3"/>
  </r>
  <r>
    <s v="bernardokath"/>
    <n v="533"/>
    <x v="107"/>
    <s v="17.3M"/>
    <x v="16"/>
    <s v="233.7K"/>
    <s v="282.1K"/>
    <x v="251"/>
    <n v="233700"/>
    <n v="282100"/>
    <n v="1.3508670520231214E-2"/>
  </r>
  <r>
    <s v="chloegmoretz"/>
    <n v="534"/>
    <x v="8"/>
    <s v="21.1M"/>
    <x v="2"/>
    <s v="173.9K"/>
    <s v="232.3K"/>
    <x v="340"/>
    <n v="173900"/>
    <n v="232300"/>
    <n v="8.2417061611374416E-3"/>
  </r>
  <r>
    <s v="wizkidayo"/>
    <n v="535"/>
    <x v="3"/>
    <s v="14.9M"/>
    <x v="23"/>
    <s v="175.2K"/>
    <s v="340.9K"/>
    <x v="223"/>
    <n v="175200"/>
    <n v="340900"/>
    <n v="1.1758389261744967E-2"/>
  </r>
  <r>
    <s v="melo"/>
    <n v="536"/>
    <x v="0"/>
    <s v="9M"/>
    <x v="2"/>
    <s v="269.7K"/>
    <s v="548.1K"/>
    <x v="194"/>
    <n v="269700"/>
    <n v="548100"/>
    <n v="2.9966666666666666E-2"/>
  </r>
  <r>
    <s v="jimena.jimenezr"/>
    <n v="537"/>
    <x v="61"/>
    <s v="5.8M"/>
    <x v="6"/>
    <s v="581.1K"/>
    <s v="839.2K"/>
    <x v="267"/>
    <n v="581100"/>
    <n v="839200"/>
    <n v="0.10018965517241379"/>
  </r>
  <r>
    <s v="gessicakayane"/>
    <n v="538"/>
    <x v="39"/>
    <s v="20M"/>
    <x v="3"/>
    <s v="117.5K"/>
    <s v="242.6K"/>
    <x v="91"/>
    <n v="117500"/>
    <n v="242600"/>
    <n v="5.875E-3"/>
  </r>
  <r>
    <s v="andreavaldirisos"/>
    <n v="539"/>
    <x v="91"/>
    <s v="8.6M"/>
    <x v="15"/>
    <s v="400.1K"/>
    <s v="569.1K"/>
    <x v="327"/>
    <n v="400100"/>
    <n v="569100"/>
    <n v="4.6523255813953487E-2"/>
  </r>
  <r>
    <s v="joaogomescantor"/>
    <n v="540"/>
    <x v="51"/>
    <s v="12.8M"/>
    <x v="3"/>
    <s v="137.6K"/>
    <s v="377.3K"/>
    <x v="248"/>
    <n v="137600"/>
    <n v="377300"/>
    <n v="1.0749999999999999E-2"/>
  </r>
  <r>
    <s v="quavohuncho"/>
    <n v="541"/>
    <x v="3"/>
    <s v="21.4M"/>
    <x v="2"/>
    <s v="135.8K"/>
    <s v="222.6K"/>
    <x v="173"/>
    <n v="135800"/>
    <n v="222600"/>
    <n v="6.3457943925233646E-3"/>
  </r>
  <r>
    <s v="caviarmagnat"/>
    <n v="543"/>
    <x v="61"/>
    <s v="15.1M"/>
    <x v="7"/>
    <s v="216.8K"/>
    <s v="313.8K"/>
    <x v="199"/>
    <n v="216800"/>
    <n v="313800"/>
    <n v="1.4357615894039735E-2"/>
  </r>
  <r>
    <s v="suga_bighitentertainment"/>
    <n v="544"/>
    <x v="3"/>
    <s v="7.6M"/>
    <x v="4"/>
    <s v="558.5K"/>
    <s v="630.3K"/>
    <x v="212"/>
    <n v="558500"/>
    <n v="630300"/>
    <n v="7.3486842105263156E-2"/>
  </r>
  <r>
    <s v="pablogavi"/>
    <n v="545"/>
    <x v="61"/>
    <s v="4.7M"/>
    <x v="17"/>
    <n v="0"/>
    <s v="1M"/>
    <x v="182"/>
    <m/>
    <m/>
    <m/>
  </r>
  <r>
    <s v="netflixbrasil"/>
    <n v="546"/>
    <x v="50"/>
    <s v="31.8M"/>
    <x v="3"/>
    <s v="87.8K"/>
    <s v="149.4K"/>
    <x v="129"/>
    <n v="87800"/>
    <n v="149400"/>
    <n v="2.7610062893081763E-3"/>
  </r>
  <r>
    <s v="ridwankamil"/>
    <n v="547"/>
    <x v="108"/>
    <s v="18.4M"/>
    <x v="4"/>
    <s v="169K"/>
    <s v="257.1K"/>
    <x v="250"/>
    <n v="169000"/>
    <n v="257100.00000000003"/>
    <n v="9.1847826086956519E-3"/>
  </r>
  <r>
    <s v="beautifuldestinations"/>
    <n v="548"/>
    <x v="109"/>
    <s v="24.7M"/>
    <x v="2"/>
    <s v="142.1K"/>
    <s v="190.6K"/>
    <x v="59"/>
    <n v="142100"/>
    <n v="190600"/>
    <n v="5.7530364372469639E-3"/>
  </r>
  <r>
    <s v="angelinajolie"/>
    <n v="549"/>
    <x v="9"/>
    <s v="13.2M"/>
    <x v="3"/>
    <s v="216.4K"/>
    <s v="358.5K"/>
    <x v="290"/>
    <n v="216400"/>
    <n v="358500"/>
    <n v="1.6393939393939395E-2"/>
  </r>
  <r>
    <s v="corinnakopf"/>
    <n v="550"/>
    <x v="19"/>
    <s v="6.7M"/>
    <x v="2"/>
    <s v="461.9K"/>
    <s v="707.1K"/>
    <x v="299"/>
    <n v="461900"/>
    <n v="707100"/>
    <n v="6.894029850746268E-2"/>
  </r>
  <r>
    <s v="asabopp"/>
    <n v="552"/>
    <x v="8"/>
    <s v="5.8M"/>
    <x v="3"/>
    <s v="555.7K"/>
    <s v="812.7K"/>
    <x v="267"/>
    <n v="555700"/>
    <n v="812700"/>
    <n v="9.5810344827586214E-2"/>
  </r>
  <r>
    <s v="naileadevora"/>
    <n v="553"/>
    <x v="62"/>
    <s v="5.2M"/>
    <x v="2"/>
    <s v="613.7K"/>
    <s v="906.7K"/>
    <x v="341"/>
    <n v="613700"/>
    <n v="906700"/>
    <n v="0.11801923076923077"/>
  </r>
  <r>
    <s v="lizakoshy"/>
    <n v="554"/>
    <x v="8"/>
    <s v="20.1M"/>
    <x v="2"/>
    <s v="173.4K"/>
    <s v="231.5K"/>
    <x v="336"/>
    <n v="173400"/>
    <n v="231500"/>
    <n v="8.6268656716417917E-3"/>
  </r>
  <r>
    <s v="marimaria"/>
    <n v="555"/>
    <x v="19"/>
    <s v="20.1M"/>
    <x v="3"/>
    <s v="119.7K"/>
    <s v="230.5K"/>
    <x v="336"/>
    <n v="119700"/>
    <n v="230500"/>
    <n v="5.9552238805970145E-3"/>
  </r>
  <r>
    <s v="ronaldo"/>
    <n v="556"/>
    <x v="0"/>
    <s v="23M"/>
    <x v="3"/>
    <s v="116.6K"/>
    <s v="201.9K"/>
    <x v="69"/>
    <n v="116600"/>
    <n v="201900"/>
    <n v="5.0695652173913044E-3"/>
  </r>
  <r>
    <s v="gisele"/>
    <n v="557"/>
    <x v="110"/>
    <s v="19.4M"/>
    <x v="3"/>
    <s v="161.7K"/>
    <s v="240.1K"/>
    <x v="277"/>
    <n v="161700"/>
    <n v="240100"/>
    <n v="8.3350515463917526E-3"/>
  </r>
  <r>
    <s v="liverpoolfc"/>
    <n v="558"/>
    <x v="0"/>
    <s v="39.5M"/>
    <x v="20"/>
    <s v="82.3K"/>
    <s v="116.7K"/>
    <x v="304"/>
    <n v="82300"/>
    <n v="116700"/>
    <n v="2.0835443037974682E-3"/>
  </r>
  <r>
    <s v="nehasharmaofficial"/>
    <n v="559"/>
    <x v="8"/>
    <s v="14.6M"/>
    <x v="0"/>
    <s v="274K"/>
    <s v="315.2K"/>
    <x v="176"/>
    <n v="274000"/>
    <n v="315200"/>
    <n v="1.8767123287671234E-2"/>
  </r>
  <r>
    <s v="marcusrashford"/>
    <n v="560"/>
    <x v="0"/>
    <s v="12.8M"/>
    <x v="20"/>
    <s v="227.9K"/>
    <s v="360.5K"/>
    <x v="248"/>
    <n v="227900"/>
    <n v="360500"/>
    <n v="1.7804687499999999E-2"/>
  </r>
  <r>
    <s v="golfarahani"/>
    <n v="561"/>
    <x v="8"/>
    <s v="13.4M"/>
    <x v="14"/>
    <s v="266.4K"/>
    <s v="343.3K"/>
    <x v="269"/>
    <n v="266400"/>
    <n v="343300"/>
    <n v="1.9880597014925373E-2"/>
  </r>
  <r>
    <s v="fuckjerry"/>
    <n v="562"/>
    <x v="65"/>
    <s v="16.8M"/>
    <x v="2"/>
    <s v="212.2K"/>
    <s v="274K"/>
    <x v="124"/>
    <n v="212200"/>
    <n v="274000"/>
    <n v="1.2630952380952382E-2"/>
  </r>
  <r>
    <s v="nazriyafahadh"/>
    <n v="563"/>
    <x v="9"/>
    <s v="6.1M"/>
    <x v="0"/>
    <s v="567.2K"/>
    <s v="759.9K"/>
    <x v="342"/>
    <n v="567200"/>
    <n v="759900"/>
    <n v="9.2983606557377044E-2"/>
  </r>
  <r>
    <s v="kyrieirving"/>
    <n v="564"/>
    <x v="0"/>
    <s v="16.9M"/>
    <x v="2"/>
    <s v="178.9K"/>
    <s v="271.3K"/>
    <x v="249"/>
    <n v="178900"/>
    <n v="271300"/>
    <n v="1.0585798816568048E-2"/>
  </r>
  <r>
    <s v="xsqueezie"/>
    <n v="565"/>
    <x v="7"/>
    <s v="7.9M"/>
    <x v="8"/>
    <s v="499.4K"/>
    <s v="584.2K"/>
    <x v="289"/>
    <n v="499400"/>
    <n v="584200"/>
    <n v="6.3215189873417718E-2"/>
  </r>
  <r>
    <s v="actorsuriya"/>
    <n v="566"/>
    <x v="8"/>
    <s v="4.9M"/>
    <x v="0"/>
    <s v="731.7K"/>
    <s v="949.4K"/>
    <x v="284"/>
    <n v="731700"/>
    <n v="949400"/>
    <n v="0.14932653061224491"/>
  </r>
  <r>
    <s v="easportsfifa"/>
    <n v="567"/>
    <x v="0"/>
    <s v="26.7M"/>
    <x v="12"/>
    <s v="100.5K"/>
    <s v="169.5K"/>
    <x v="343"/>
    <n v="100500"/>
    <n v="169500"/>
    <n v="3.7640449438202249E-3"/>
  </r>
  <r>
    <s v="nessabarrett"/>
    <n v="568"/>
    <x v="28"/>
    <s v="7M"/>
    <x v="2"/>
    <s v="481K"/>
    <s v="651.7K"/>
    <x v="344"/>
    <n v="481000"/>
    <n v="651700"/>
    <n v="6.8714285714285714E-2"/>
  </r>
  <r>
    <s v="trentarnold66"/>
    <n v="569"/>
    <x v="0"/>
    <s v="7.6M"/>
    <x v="20"/>
    <s v="408.4K"/>
    <s v="598.3K"/>
    <x v="212"/>
    <n v="408400"/>
    <n v="598300"/>
    <n v="5.3736842105263159E-2"/>
  </r>
  <r>
    <s v="madisonbaileybabe"/>
    <n v="570"/>
    <x v="9"/>
    <s v="6.7M"/>
    <x v="2"/>
    <s v="362.4K"/>
    <s v="678.6K"/>
    <x v="299"/>
    <n v="362400"/>
    <n v="678600"/>
    <n v="5.4089552238805967E-2"/>
  </r>
  <r>
    <s v="jackharlow"/>
    <n v="571"/>
    <x v="28"/>
    <s v="6.7M"/>
    <x v="2"/>
    <s v="360.7K"/>
    <s v="673.9K"/>
    <x v="299"/>
    <n v="360700"/>
    <n v="673900"/>
    <n v="5.3835820895522385E-2"/>
  </r>
  <r>
    <s v="victoriajustice"/>
    <n v="572"/>
    <x v="71"/>
    <s v="22.7M"/>
    <x v="2"/>
    <s v="144.7K"/>
    <s v="196.8K"/>
    <x v="316"/>
    <n v="144700"/>
    <n v="196800"/>
    <n v="6.3744493392070486E-3"/>
  </r>
  <r>
    <s v="amauryguichon"/>
    <n v="573"/>
    <x v="52"/>
    <s v="9M"/>
    <x v="2"/>
    <s v="407.2K"/>
    <s v="497.2K"/>
    <x v="194"/>
    <n v="407200"/>
    <n v="497200"/>
    <n v="4.5244444444444441E-2"/>
  </r>
  <r>
    <s v="phoebejtonkin"/>
    <n v="574"/>
    <x v="73"/>
    <s v="8.4M"/>
    <x v="2"/>
    <s v="373K"/>
    <s v="532.6K"/>
    <x v="241"/>
    <n v="373000"/>
    <n v="532600"/>
    <n v="4.4404761904761905E-2"/>
  </r>
  <r>
    <s v="vanessamorgan"/>
    <n v="575"/>
    <x v="16"/>
    <s v="9.5M"/>
    <x v="2"/>
    <s v="330.5K"/>
    <s v="470.7K"/>
    <x v="311"/>
    <n v="330500"/>
    <n v="470700"/>
    <n v="3.4789473684210523E-2"/>
  </r>
  <r>
    <s v="smriti_mandhana"/>
    <n v="576"/>
    <x v="0"/>
    <s v="6.2M"/>
    <x v="0"/>
    <s v="621.3K"/>
    <s v="720.2K"/>
    <x v="291"/>
    <n v="621300"/>
    <n v="720200"/>
    <n v="0.10020967741935484"/>
  </r>
  <r>
    <s v="shreyaghoshal"/>
    <n v="577"/>
    <x v="3"/>
    <s v="24.4M"/>
    <x v="0"/>
    <s v="160.2K"/>
    <s v="180.3K"/>
    <x v="141"/>
    <n v="160200"/>
    <n v="180300"/>
    <n v="6.5655737704918031E-3"/>
  </r>
  <r>
    <s v="achrafhakimi"/>
    <n v="578"/>
    <x v="0"/>
    <s v="9.9M"/>
    <x v="24"/>
    <s v="304.1K"/>
    <s v="446.8K"/>
    <x v="256"/>
    <n v="304100"/>
    <n v="446800"/>
    <n v="3.0717171717171716E-2"/>
  </r>
  <r>
    <s v="aleoliveiracm"/>
    <n v="579"/>
    <x v="65"/>
    <s v="8.4M"/>
    <x v="3"/>
    <s v="214.9K"/>
    <s v="549.8K"/>
    <x v="241"/>
    <n v="214900"/>
    <n v="549800"/>
    <n v="2.5583333333333333E-2"/>
  </r>
  <r>
    <s v="xuminghao_o"/>
    <n v="580"/>
    <x v="3"/>
    <s v="4.9M"/>
    <x v="4"/>
    <s v="721.9K"/>
    <s v="910.3K"/>
    <x v="284"/>
    <n v="721900"/>
    <n v="910300"/>
    <n v="0.1473265306122449"/>
  </r>
  <r>
    <s v="nita_shilimkar"/>
    <n v="581"/>
    <x v="92"/>
    <s v="11.3M"/>
    <x v="0"/>
    <s v="289.8K"/>
    <s v="383K"/>
    <x v="345"/>
    <n v="289800"/>
    <n v="383000"/>
    <n v="2.5646017699115044E-2"/>
  </r>
  <r>
    <s v="jeromepolin"/>
    <n v="582"/>
    <x v="111"/>
    <s v="6.9M"/>
    <x v="4"/>
    <s v="429.8K"/>
    <s v="630.4K"/>
    <x v="180"/>
    <n v="429800"/>
    <n v="630400"/>
    <n v="6.2289855072463769E-2"/>
  </r>
  <r>
    <s v="sound_of_coups"/>
    <n v="583"/>
    <x v="3"/>
    <s v="3.9M"/>
    <x v="4"/>
    <s v="863.9K"/>
    <s v="1.1M"/>
    <x v="346"/>
    <n v="863900"/>
    <n v="1100000"/>
    <n v="0.22151282051282051"/>
  </r>
  <r>
    <s v="aishwaryaraibachchan_arb"/>
    <n v="584"/>
    <x v="8"/>
    <s v="10.4M"/>
    <x v="0"/>
    <s v="320.2K"/>
    <s v="408.7K"/>
    <x v="347"/>
    <n v="320200"/>
    <n v="408700"/>
    <n v="3.0788461538461539E-2"/>
  </r>
  <r>
    <s v="emiliamernes"/>
    <n v="585"/>
    <x v="3"/>
    <s v="6M"/>
    <x v="1"/>
    <s v="379.6K"/>
    <s v="714.3K"/>
    <x v="303"/>
    <n v="379600"/>
    <n v="714300"/>
    <n v="6.3266666666666665E-2"/>
  </r>
  <r>
    <s v="geewonii"/>
    <n v="586"/>
    <x v="8"/>
    <s v="7.6M"/>
    <x v="4"/>
    <s v="428K"/>
    <s v="563.4K"/>
    <x v="212"/>
    <n v="428000"/>
    <n v="563400"/>
    <n v="5.6315789473684208E-2"/>
  </r>
  <r>
    <s v="markiplier"/>
    <n v="587"/>
    <x v="62"/>
    <s v="10.4M"/>
    <x v="2"/>
    <s v="355.4K"/>
    <s v="404.7K"/>
    <x v="347"/>
    <n v="355400"/>
    <n v="404700"/>
    <n v="3.4173076923076924E-2"/>
  </r>
  <r>
    <s v="jairmessiasbolsonaro"/>
    <n v="588"/>
    <x v="21"/>
    <s v="20.2M"/>
    <x v="3"/>
    <s v="151.6K"/>
    <s v="213.1K"/>
    <x v="264"/>
    <n v="151600"/>
    <n v="213100"/>
    <n v="7.5049504950495047E-3"/>
  </r>
  <r>
    <s v="loganpaul"/>
    <n v="589"/>
    <x v="84"/>
    <s v="23.3M"/>
    <x v="2"/>
    <s v="135K"/>
    <s v="179.7K"/>
    <x v="74"/>
    <n v="135000"/>
    <n v="179700"/>
    <n v="5.7939914163090125E-3"/>
  </r>
  <r>
    <s v="klaythompson"/>
    <n v="590"/>
    <x v="49"/>
    <s v="12.9M"/>
    <x v="2"/>
    <s v="223.3K"/>
    <s v="324.2K"/>
    <x v="211"/>
    <n v="223300"/>
    <n v="324200"/>
    <n v="1.7310077519379845E-2"/>
  </r>
  <r>
    <s v="malutrevejo"/>
    <n v="591"/>
    <x v="3"/>
    <s v="11.6M"/>
    <x v="2"/>
    <s v="201.4K"/>
    <s v="361.2K"/>
    <x v="257"/>
    <n v="201400"/>
    <n v="361200"/>
    <n v="1.736206896551724E-2"/>
  </r>
  <r>
    <s v="virgilvandijk"/>
    <n v="592"/>
    <x v="0"/>
    <s v="12.3M"/>
    <x v="20"/>
    <s v="238.5K"/>
    <s v="338.6K"/>
    <x v="184"/>
    <n v="238500"/>
    <n v="338600"/>
    <n v="1.9390243902439024E-2"/>
  </r>
  <r>
    <s v="frenkiedejong"/>
    <n v="593"/>
    <x v="0"/>
    <s v="10.6M"/>
    <x v="12"/>
    <s v="262.4K"/>
    <s v="393.9K"/>
    <x v="348"/>
    <n v="262400"/>
    <n v="393900"/>
    <n v="2.4754716981132074E-2"/>
  </r>
  <r>
    <s v="karelyruiz"/>
    <n v="594"/>
    <x v="9"/>
    <s v="6.4M"/>
    <x v="6"/>
    <s v="525.7K"/>
    <s v="660.2K"/>
    <x v="297"/>
    <n v="525700"/>
    <n v="660200"/>
    <n v="8.2140624999999995E-2"/>
  </r>
  <r>
    <s v="ciara"/>
    <n v="595"/>
    <x v="112"/>
    <s v="32.3M"/>
    <x v="2"/>
    <s v="95.7K"/>
    <s v="129.2K"/>
    <x v="82"/>
    <n v="95700"/>
    <n v="129199.99999999999"/>
    <n v="2.9628482972136228E-3"/>
  </r>
  <r>
    <s v="joshu_acoustic"/>
    <n v="596"/>
    <x v="3"/>
    <s v="4.2M"/>
    <x v="17"/>
    <n v="0"/>
    <s v="1M"/>
    <x v="182"/>
    <m/>
    <m/>
    <m/>
  </r>
  <r>
    <s v="actorprabhas"/>
    <n v="597"/>
    <x v="8"/>
    <s v="8.6M"/>
    <x v="0"/>
    <s v="434.2K"/>
    <s v="486K"/>
    <x v="327"/>
    <n v="434200"/>
    <n v="486000"/>
    <n v="5.0488372093023252E-2"/>
  </r>
  <r>
    <s v="avani"/>
    <n v="598"/>
    <x v="98"/>
    <s v="18.9M"/>
    <x v="2"/>
    <s v="160.8K"/>
    <s v="216.9K"/>
    <x v="157"/>
    <n v="160800"/>
    <n v="216900"/>
    <n v="8.5079365079365078E-3"/>
  </r>
  <r>
    <s v="jensenackles"/>
    <n v="599"/>
    <x v="8"/>
    <s v="9.6M"/>
    <x v="2"/>
    <s v="336.9K"/>
    <s v="438.3K"/>
    <x v="93"/>
    <n v="336900"/>
    <n v="438300"/>
    <n v="3.509375E-2"/>
  </r>
  <r>
    <s v="jaybnow.hr"/>
    <n v="600"/>
    <x v="3"/>
    <s v="6.9M"/>
    <x v="3"/>
    <s v="463.3K"/>
    <s v="607.3K"/>
    <x v="180"/>
    <n v="463300"/>
    <n v="607300"/>
    <n v="6.7144927536231885E-2"/>
  </r>
  <r>
    <s v="missasinfonia"/>
    <n v="603"/>
    <x v="8"/>
    <s v="5.4M"/>
    <x v="6"/>
    <s v="688.6K"/>
    <s v="771.8K"/>
    <x v="300"/>
    <n v="688600"/>
    <n v="771800"/>
    <n v="0.12751851851851853"/>
  </r>
  <r>
    <s v="mattyperry4"/>
    <n v="604"/>
    <x v="61"/>
    <s v="7.9M"/>
    <x v="3"/>
    <s v="387.2K"/>
    <s v="528.6K"/>
    <x v="289"/>
    <n v="387200"/>
    <n v="528600"/>
    <n v="4.9012658227848102E-2"/>
  </r>
  <r>
    <s v="__youngbae__"/>
    <n v="605"/>
    <x v="3"/>
    <s v="13.4M"/>
    <x v="4"/>
    <s v="269.6K"/>
    <s v="304.7K"/>
    <x v="269"/>
    <n v="269600"/>
    <n v="304700"/>
    <n v="2.0119402985074628E-2"/>
  </r>
  <r>
    <s v="zoeisabellakravitz"/>
    <n v="606"/>
    <x v="8"/>
    <s v="8.5M"/>
    <x v="2"/>
    <s v="318.5K"/>
    <s v="483.3K"/>
    <x v="160"/>
    <n v="318500"/>
    <n v="483300"/>
    <n v="3.7470588235294117E-2"/>
  </r>
  <r>
    <s v="premierleague"/>
    <n v="607"/>
    <x v="0"/>
    <s v="57.9M"/>
    <x v="20"/>
    <s v="47.8K"/>
    <s v="69.8K"/>
    <x v="349"/>
    <n v="47800"/>
    <n v="69800"/>
    <n v="8.2556131260794479E-4"/>
  </r>
  <r>
    <s v="catherinemcbroom"/>
    <n v="608"/>
    <x v="74"/>
    <s v="7.4M"/>
    <x v="2"/>
    <s v="324.5K"/>
    <s v="558K"/>
    <x v="314"/>
    <n v="324500"/>
    <n v="558000"/>
    <n v="4.3851351351351354E-2"/>
  </r>
  <r>
    <s v="kit.connor"/>
    <n v="611"/>
    <x v="8"/>
    <s v="4.3M"/>
    <x v="2"/>
    <s v="570.1K"/>
    <s v="944.6K"/>
    <x v="350"/>
    <n v="570100"/>
    <n v="944600"/>
    <n v="0.1325813953488372"/>
  </r>
  <r>
    <s v="toni.kr8s"/>
    <n v="612"/>
    <x v="0"/>
    <s v="34.2M"/>
    <x v="22"/>
    <s v="85.8K"/>
    <s v="117.1K"/>
    <x v="351"/>
    <n v="85800"/>
    <n v="117100"/>
    <n v="2.5087719298245614E-3"/>
  </r>
  <r>
    <s v="memezar"/>
    <n v="613"/>
    <x v="8"/>
    <s v="23.4M"/>
    <x v="2"/>
    <s v="114.9K"/>
    <s v="171K"/>
    <x v="115"/>
    <n v="114900"/>
    <n v="171000"/>
    <n v="4.9102564102564104E-3"/>
  </r>
  <r>
    <s v="dew_jsu"/>
    <n v="614"/>
    <x v="8"/>
    <s v="6.1M"/>
    <x v="4"/>
    <s v="495.5K"/>
    <s v="666.3K"/>
    <x v="342"/>
    <n v="495500"/>
    <n v="666300"/>
    <n v="8.1229508196721312E-2"/>
  </r>
  <r>
    <s v="amadorat"/>
    <n v="615"/>
    <x v="113"/>
    <s v="8.2M"/>
    <x v="6"/>
    <s v="434.7K"/>
    <s v="485.5K"/>
    <x v="235"/>
    <n v="434700"/>
    <n v="485500"/>
    <n v="5.3012195121951225E-2"/>
  </r>
  <r>
    <s v="urstrulymahesh"/>
    <n v="616"/>
    <x v="8"/>
    <s v="8.7M"/>
    <x v="0"/>
    <s v="419.8K"/>
    <s v="461.9K"/>
    <x v="213"/>
    <n v="419800"/>
    <n v="461900"/>
    <n v="4.825287356321839E-2"/>
  </r>
  <r>
    <s v="theslumpgod"/>
    <n v="618"/>
    <x v="3"/>
    <s v="5.4M"/>
    <x v="2"/>
    <s v="428.6K"/>
    <s v="745.4K"/>
    <x v="300"/>
    <n v="428600"/>
    <n v="745400"/>
    <n v="7.9370370370370369E-2"/>
  </r>
  <r>
    <s v="tiffanyyoungofficial"/>
    <n v="619"/>
    <x v="2"/>
    <s v="12.3M"/>
    <x v="4"/>
    <s v="255.7K"/>
    <s v="320.3K"/>
    <x v="184"/>
    <n v="255700"/>
    <n v="320300"/>
    <n v="2.0788617886178862E-2"/>
  </r>
  <r>
    <s v="juventus"/>
    <n v="620"/>
    <x v="0"/>
    <s v="54M"/>
    <x v="0"/>
    <s v="48.4K"/>
    <s v="72.3K"/>
    <x v="352"/>
    <n v="48400"/>
    <n v="72300"/>
    <n v="8.9629629629629629E-4"/>
  </r>
  <r>
    <s v="iam_linyi"/>
    <n v="621"/>
    <x v="8"/>
    <s v="3.9M"/>
    <x v="4"/>
    <s v="768.1K"/>
    <s v="1M"/>
    <x v="346"/>
    <n v="768100"/>
    <n v="1000000"/>
    <n v="0.19694871794871796"/>
  </r>
  <r>
    <s v="angeliqueboyer"/>
    <n v="622"/>
    <x v="50"/>
    <s v="14.2M"/>
    <x v="3"/>
    <s v="219.5K"/>
    <s v="275.9K"/>
    <x v="229"/>
    <n v="219500"/>
    <n v="275900"/>
    <n v="1.5457746478873239E-2"/>
  </r>
  <r>
    <s v="pozevidalouca"/>
    <n v="623"/>
    <x v="114"/>
    <s v="7M"/>
    <x v="3"/>
    <s v="228.5K"/>
    <s v="574K"/>
    <x v="344"/>
    <n v="228500"/>
    <n v="574000"/>
    <n v="3.264285714285714E-2"/>
  </r>
  <r>
    <s v="narins_beauty"/>
    <n v="624"/>
    <x v="9"/>
    <s v="9M"/>
    <x v="25"/>
    <s v="362K"/>
    <s v="442K"/>
    <x v="194"/>
    <n v="362000"/>
    <n v="442000"/>
    <n v="4.0222222222222222E-2"/>
  </r>
  <r>
    <s v="bhadbhabie"/>
    <n v="625"/>
    <x v="3"/>
    <s v="16.4M"/>
    <x v="2"/>
    <s v="125.7K"/>
    <s v="236.2K"/>
    <x v="301"/>
    <n v="125700"/>
    <n v="236200"/>
    <n v="7.6646341463414642E-3"/>
  </r>
  <r>
    <s v="otabek_muhammadalievich"/>
    <n v="626"/>
    <x v="61"/>
    <s v="20M"/>
    <x v="7"/>
    <s v="144.5K"/>
    <s v="195.2K"/>
    <x v="91"/>
    <n v="144500"/>
    <n v="195200"/>
    <n v="7.2249999999999997E-3"/>
  </r>
  <r>
    <s v="sushitrash"/>
    <n v="627"/>
    <x v="3"/>
    <s v="6.3M"/>
    <x v="2"/>
    <s v="511.3K"/>
    <s v="624.9K"/>
    <x v="292"/>
    <n v="511300"/>
    <n v="624900"/>
    <n v="8.1158730158730152E-2"/>
  </r>
  <r>
    <s v="djsnake"/>
    <n v="628"/>
    <x v="3"/>
    <s v="9.5M"/>
    <x v="0"/>
    <s v="345K"/>
    <s v="409.9K"/>
    <x v="311"/>
    <n v="345000"/>
    <n v="409900"/>
    <n v="3.6315789473684211E-2"/>
  </r>
  <r>
    <s v="kareenakapoorkhan"/>
    <n v="629"/>
    <x v="115"/>
    <s v="9.4M"/>
    <x v="0"/>
    <s v="333.6K"/>
    <s v="415.8K"/>
    <x v="209"/>
    <n v="333600"/>
    <n v="415800"/>
    <n v="3.5489361702127659E-2"/>
  </r>
  <r>
    <s v="dindahw"/>
    <n v="630"/>
    <x v="8"/>
    <s v="14.5M"/>
    <x v="4"/>
    <s v="177K"/>
    <s v="264.8K"/>
    <x v="353"/>
    <n v="177000"/>
    <n v="264800"/>
    <n v="1.2206896551724139E-2"/>
  </r>
  <r>
    <s v="chrismcg"/>
    <n v="631"/>
    <x v="61"/>
    <s v="10.6M"/>
    <x v="2"/>
    <s v="163.7K"/>
    <s v="360.4K"/>
    <x v="348"/>
    <n v="163700"/>
    <n v="360400"/>
    <n v="1.5443396226415095E-2"/>
  </r>
  <r>
    <s v="aslisona"/>
    <n v="632"/>
    <x v="27"/>
    <s v="23M"/>
    <x v="0"/>
    <s v="137.3K"/>
    <s v="166.8K"/>
    <x v="69"/>
    <n v="137300"/>
    <n v="166800"/>
    <n v="5.9695652173913042E-3"/>
  </r>
  <r>
    <s v="f1"/>
    <n v="633"/>
    <x v="48"/>
    <s v="19.8M"/>
    <x v="9"/>
    <s v="150.8K"/>
    <s v="191.7K"/>
    <x v="193"/>
    <n v="150800"/>
    <n v="191700"/>
    <n v="7.6161616161616163E-3"/>
  </r>
  <r>
    <s v="davidalaba"/>
    <n v="634"/>
    <x v="0"/>
    <s v="10.1M"/>
    <x v="12"/>
    <s v="264.5K"/>
    <s v="374.9K"/>
    <x v="265"/>
    <n v="264500"/>
    <n v="374900"/>
    <n v="2.6188118811881187E-2"/>
  </r>
  <r>
    <s v="haifawehbe"/>
    <n v="635"/>
    <x v="3"/>
    <s v="10.1M"/>
    <x v="21"/>
    <s v="258.5K"/>
    <s v="378.2K"/>
    <x v="265"/>
    <n v="258500"/>
    <n v="378200"/>
    <n v="2.5594059405940593E-2"/>
  </r>
  <r>
    <s v="zo"/>
    <n v="636"/>
    <x v="0"/>
    <s v="14.2M"/>
    <x v="2"/>
    <s v="147.9K"/>
    <s v="267.1K"/>
    <x v="229"/>
    <n v="147900"/>
    <n v="267100"/>
    <n v="1.0415492957746479E-2"/>
  </r>
  <r>
    <s v="felipeneto"/>
    <n v="637"/>
    <x v="9"/>
    <s v="16M"/>
    <x v="3"/>
    <s v="167.8K"/>
    <s v="237.5K"/>
    <x v="137"/>
    <n v="167800"/>
    <n v="237500"/>
    <n v="1.04875E-2"/>
  </r>
  <r>
    <s v="jaspritb1"/>
    <n v="638"/>
    <x v="9"/>
    <s v="9.8M"/>
    <x v="0"/>
    <s v="339.2K"/>
    <s v="390.1K"/>
    <x v="153"/>
    <n v="339200"/>
    <n v="390100"/>
    <n v="3.4612244897959187E-2"/>
  </r>
  <r>
    <s v="maudeapatow"/>
    <n v="639"/>
    <x v="46"/>
    <s v="4.9M"/>
    <x v="2"/>
    <s v="471.4K"/>
    <s v="780.4K"/>
    <x v="284"/>
    <n v="471400"/>
    <n v="780400"/>
    <n v="9.6204081632653066E-2"/>
  </r>
  <r>
    <s v="taylor_hill"/>
    <n v="640"/>
    <x v="116"/>
    <s v="19.9M"/>
    <x v="2"/>
    <s v="126.9K"/>
    <s v="189.4K"/>
    <x v="275"/>
    <n v="126900"/>
    <n v="189400"/>
    <n v="6.3768844221105524E-3"/>
  </r>
  <r>
    <s v="regejean"/>
    <n v="641"/>
    <x v="22"/>
    <s v="6.3M"/>
    <x v="3"/>
    <s v="380.7K"/>
    <s v="603.3K"/>
    <x v="292"/>
    <n v="380700"/>
    <n v="603300"/>
    <n v="6.0428571428571429E-2"/>
  </r>
  <r>
    <s v="vikkialchester"/>
    <n v="643"/>
    <x v="3"/>
    <s v="11M"/>
    <x v="7"/>
    <s v="279.3K"/>
    <s v="339.9K"/>
    <x v="260"/>
    <n v="279300"/>
    <n v="339900"/>
    <n v="2.5390909090909092E-2"/>
  </r>
  <r>
    <s v="simonettalein"/>
    <n v="644"/>
    <x v="73"/>
    <s v="11.5M"/>
    <x v="0"/>
    <s v="234.2K"/>
    <s v="322.1K"/>
    <x v="317"/>
    <n v="234200"/>
    <n v="322100"/>
    <n v="2.0365217391304348E-2"/>
  </r>
  <r>
    <s v="troyesivan"/>
    <n v="645"/>
    <x v="117"/>
    <s v="13.2M"/>
    <x v="2"/>
    <s v="196.2K"/>
    <s v="282.2K"/>
    <x v="290"/>
    <n v="196200"/>
    <n v="282200"/>
    <n v="1.4863636363636364E-2"/>
  </r>
  <r>
    <s v="alvxaro"/>
    <n v="646"/>
    <x v="9"/>
    <s v="9.7M"/>
    <x v="3"/>
    <s v="156.2K"/>
    <s v="391K"/>
    <x v="320"/>
    <n v="156200"/>
    <n v="391000"/>
    <n v="1.6103092783505156E-2"/>
  </r>
  <r>
    <s v="paulwalker"/>
    <n v="647"/>
    <x v="8"/>
    <s v="15M"/>
    <x v="0"/>
    <s v="179.8K"/>
    <s v="246.7K"/>
    <x v="218"/>
    <n v="179800"/>
    <n v="246700"/>
    <n v="1.1986666666666666E-2"/>
  </r>
  <r>
    <s v="amandacerny"/>
    <n v="648"/>
    <x v="65"/>
    <s v="24M"/>
    <x v="0"/>
    <s v="95.8K"/>
    <s v="153.8K"/>
    <x v="354"/>
    <n v="95800"/>
    <n v="153800"/>
    <n v="3.9916666666666668E-3"/>
  </r>
  <r>
    <s v="yamigautam"/>
    <n v="649"/>
    <x v="8"/>
    <s v="16M"/>
    <x v="0"/>
    <s v="198.7K"/>
    <s v="230.1K"/>
    <x v="137"/>
    <n v="198700"/>
    <n v="230100"/>
    <n v="1.2418749999999999E-2"/>
  </r>
  <r>
    <s v="candiceking"/>
    <n v="650"/>
    <x v="60"/>
    <s v="9.9M"/>
    <x v="3"/>
    <s v="269.4K"/>
    <s v="375.7K"/>
    <x v="256"/>
    <n v="269400"/>
    <n v="375700"/>
    <n v="2.7212121212121212E-2"/>
  </r>
  <r>
    <s v="snoopdogg"/>
    <n v="651"/>
    <x v="28"/>
    <s v="74.6M"/>
    <x v="2"/>
    <s v="36.9K"/>
    <s v="49.8K"/>
    <x v="355"/>
    <n v="36900"/>
    <n v="49800"/>
    <n v="4.9463806970509385E-4"/>
  </r>
  <r>
    <s v="thiago6"/>
    <n v="652"/>
    <x v="0"/>
    <s v="9.6M"/>
    <x v="20"/>
    <s v="226.4K"/>
    <s v="389K"/>
    <x v="93"/>
    <n v="226400"/>
    <n v="389000"/>
    <n v="2.3583333333333335E-2"/>
  </r>
  <r>
    <s v="egorkreed"/>
    <n v="654"/>
    <x v="3"/>
    <s v="14.7M"/>
    <x v="7"/>
    <s v="202.3K"/>
    <s v="248.9K"/>
    <x v="237"/>
    <n v="202300"/>
    <n v="248900"/>
    <n v="1.3761904761904762E-2"/>
  </r>
  <r>
    <s v="amybethmcnulty"/>
    <n v="655"/>
    <x v="46"/>
    <s v="7.3M"/>
    <x v="3"/>
    <s v="364.1K"/>
    <s v="499.7K"/>
    <x v="246"/>
    <n v="364100"/>
    <n v="499700"/>
    <n v="4.9876712328767121E-2"/>
  </r>
  <r>
    <s v="charles_leclerc"/>
    <n v="656"/>
    <x v="48"/>
    <s v="8M"/>
    <x v="9"/>
    <s v="347K"/>
    <s v="461.1K"/>
    <x v="232"/>
    <n v="347000"/>
    <n v="461100"/>
    <n v="4.3374999999999997E-2"/>
  </r>
  <r>
    <s v="avengers"/>
    <n v="657"/>
    <x v="8"/>
    <s v="13.5M"/>
    <x v="0"/>
    <s v="213.9K"/>
    <s v="268K"/>
    <x v="174"/>
    <n v="213900"/>
    <n v="268000"/>
    <n v="1.5844444444444446E-2"/>
  </r>
  <r>
    <s v="dbook"/>
    <n v="658"/>
    <x v="0"/>
    <s v="5.4M"/>
    <x v="2"/>
    <s v="349.3K"/>
    <s v="687K"/>
    <x v="300"/>
    <n v="349300"/>
    <n v="687000"/>
    <n v="6.4685185185185179E-2"/>
  </r>
  <r>
    <s v="l7nnon"/>
    <n v="659"/>
    <x v="55"/>
    <s v="8.1M"/>
    <x v="3"/>
    <s v="193.5K"/>
    <s v="460.9K"/>
    <x v="283"/>
    <n v="193500"/>
    <n v="460900"/>
    <n v="2.388888888888889E-2"/>
  </r>
  <r>
    <s v="faz3"/>
    <n v="660"/>
    <x v="9"/>
    <s v="14.4M"/>
    <x v="26"/>
    <s v="194.8K"/>
    <s v="256.3K"/>
    <x v="84"/>
    <n v="194800"/>
    <n v="256300"/>
    <n v="1.3527777777777777E-2"/>
  </r>
  <r>
    <s v="kentooyamazaki"/>
    <n v="661"/>
    <x v="8"/>
    <s v="5M"/>
    <x v="27"/>
    <s v="636.6K"/>
    <s v="740K"/>
    <x v="356"/>
    <n v="636600"/>
    <n v="740000"/>
    <n v="0.12731999999999999"/>
  </r>
  <r>
    <s v="alishalehmann7"/>
    <n v="662"/>
    <x v="0"/>
    <s v="7.8M"/>
    <x v="3"/>
    <s v="248.2K"/>
    <s v="468.8K"/>
    <x v="270"/>
    <n v="248200"/>
    <n v="468800"/>
    <n v="3.182051282051282E-2"/>
  </r>
  <r>
    <s v="machinegunkelly"/>
    <n v="664"/>
    <x v="3"/>
    <s v="9.7M"/>
    <x v="2"/>
    <s v="234K"/>
    <s v="376.2K"/>
    <x v="320"/>
    <n v="234000"/>
    <n v="376200"/>
    <n v="2.4123711340206185E-2"/>
  </r>
  <r>
    <s v="davikah"/>
    <n v="665"/>
    <x v="29"/>
    <s v="16.9M"/>
    <x v="19"/>
    <s v="161.6K"/>
    <s v="210.2K"/>
    <x v="249"/>
    <n v="161600"/>
    <n v="210200"/>
    <n v="9.5621301775147931E-3"/>
  </r>
  <r>
    <s v="blythe"/>
    <n v="666"/>
    <x v="24"/>
    <s v="13.5M"/>
    <x v="16"/>
    <s v="229.7K"/>
    <s v="261.5K"/>
    <x v="174"/>
    <n v="229700"/>
    <n v="261500"/>
    <n v="1.7014814814814816E-2"/>
  </r>
  <r>
    <s v="kingryan"/>
    <n v="667"/>
    <x v="84"/>
    <s v="8.9M"/>
    <x v="2"/>
    <s v="267.2K"/>
    <s v="403.6K"/>
    <x v="357"/>
    <n v="267200"/>
    <n v="403600"/>
    <n v="3.0022471910112359E-2"/>
  </r>
  <r>
    <s v="sthefanematos"/>
    <n v="668"/>
    <x v="9"/>
    <s v="9.9M"/>
    <x v="3"/>
    <s v="159.3K"/>
    <s v="365.6K"/>
    <x v="256"/>
    <n v="159300"/>
    <n v="365600"/>
    <n v="1.609090909090909E-2"/>
  </r>
  <r>
    <s v="_agentgirl_"/>
    <n v="669"/>
    <x v="62"/>
    <s v="18.6M"/>
    <x v="7"/>
    <s v="164.4K"/>
    <s v="189.4K"/>
    <x v="358"/>
    <n v="164400"/>
    <n v="189400"/>
    <n v="8.8387096774193551E-3"/>
  </r>
  <r>
    <s v="riyadmahrez26.7"/>
    <n v="670"/>
    <x v="0"/>
    <s v="9.1M"/>
    <x v="28"/>
    <s v="306.8K"/>
    <s v="395.2K"/>
    <x v="359"/>
    <n v="306800"/>
    <n v="395200"/>
    <n v="3.3714285714285717E-2"/>
  </r>
  <r>
    <s v="ler_chek"/>
    <n v="671"/>
    <x v="91"/>
    <s v="10.4M"/>
    <x v="7"/>
    <s v="264K"/>
    <s v="342K"/>
    <x v="347"/>
    <n v="264000"/>
    <n v="342000"/>
    <n v="2.5384615384615384E-2"/>
  </r>
  <r>
    <s v="arthuraguiar"/>
    <n v="672"/>
    <x v="16"/>
    <s v="13.9M"/>
    <x v="3"/>
    <s v="116.9K"/>
    <s v="270.8K"/>
    <x v="286"/>
    <n v="116900"/>
    <n v="270800"/>
    <n v="8.4100719424460429E-3"/>
  </r>
  <r>
    <s v="harshbeniwal"/>
    <n v="673"/>
    <x v="118"/>
    <s v="5.6M"/>
    <x v="0"/>
    <s v="488.4K"/>
    <s v="636K"/>
    <x v="313"/>
    <n v="488400"/>
    <n v="636000"/>
    <n v="8.7214285714285716E-2"/>
  </r>
  <r>
    <s v="youngdae0302"/>
    <n v="674"/>
    <x v="3"/>
    <s v="4.4M"/>
    <x v="4"/>
    <s v="607.3K"/>
    <s v="801.6K"/>
    <x v="360"/>
    <n v="607300"/>
    <n v="801600"/>
    <n v="0.13802272727272727"/>
  </r>
  <r>
    <s v="sugaringcandy"/>
    <n v="675"/>
    <x v="61"/>
    <s v="2.5M"/>
    <x v="17"/>
    <n v="0"/>
    <s v="1.4M"/>
    <x v="182"/>
    <m/>
    <m/>
    <m/>
  </r>
  <r>
    <s v="casemiro"/>
    <n v="676"/>
    <x v="0"/>
    <s v="15.9M"/>
    <x v="12"/>
    <s v="146.6K"/>
    <s v="219.8K"/>
    <x v="155"/>
    <n v="146600"/>
    <n v="219800"/>
    <n v="9.2201257861635223E-3"/>
  </r>
  <r>
    <s v="jojotodynho"/>
    <n v="677"/>
    <x v="3"/>
    <s v="22.5M"/>
    <x v="3"/>
    <s v="96.5K"/>
    <s v="155.3K"/>
    <x v="361"/>
    <n v="96500"/>
    <n v="155300"/>
    <n v="4.288888888888889E-3"/>
  </r>
  <r>
    <s v="srinidhi_shetty"/>
    <n v="678"/>
    <x v="26"/>
    <s v="4.2M"/>
    <x v="0"/>
    <s v="630.5K"/>
    <s v="849.2K"/>
    <x v="362"/>
    <n v="630500"/>
    <n v="849200"/>
    <n v="0.15011904761904762"/>
  </r>
  <r>
    <s v="amin.hayai"/>
    <n v="679"/>
    <x v="61"/>
    <s v="9M"/>
    <x v="14"/>
    <s v="301.5K"/>
    <s v="396.9K"/>
    <x v="194"/>
    <n v="301500"/>
    <n v="396900"/>
    <n v="3.3500000000000002E-2"/>
  </r>
  <r>
    <s v="dylanminnette"/>
    <n v="680"/>
    <x v="16"/>
    <s v="7.4M"/>
    <x v="2"/>
    <s v="292.1K"/>
    <s v="474.8K"/>
    <x v="314"/>
    <n v="292100"/>
    <n v="474800"/>
    <n v="3.9472972972972975E-2"/>
  </r>
  <r>
    <s v="aliandooo"/>
    <n v="682"/>
    <x v="16"/>
    <s v="16.7M"/>
    <x v="4"/>
    <s v="134.8K"/>
    <s v="215.1K"/>
    <x v="363"/>
    <n v="134800"/>
    <n v="215100"/>
    <n v="8.0718562874251502E-3"/>
  </r>
  <r>
    <s v="mclomaofficial"/>
    <n v="683"/>
    <x v="3"/>
    <s v="8.1M"/>
    <x v="3"/>
    <s v="253.1K"/>
    <s v="433.1K"/>
    <x v="283"/>
    <n v="253100"/>
    <n v="433100"/>
    <n v="3.1246913580246914E-2"/>
  </r>
  <r>
    <s v="ewsbdi"/>
    <n v="684"/>
    <x v="3"/>
    <s v="4.5M"/>
    <x v="4"/>
    <s v="515.2K"/>
    <s v="770.1K"/>
    <x v="364"/>
    <n v="515200.00000000006"/>
    <n v="770100"/>
    <n v="0.1144888888888889"/>
  </r>
  <r>
    <s v="pokimanelol"/>
    <n v="685"/>
    <x v="119"/>
    <s v="6.1M"/>
    <x v="2"/>
    <s v="430.6K"/>
    <s v="567K"/>
    <x v="342"/>
    <n v="430600"/>
    <n v="567000"/>
    <n v="7.0590163934426228E-2"/>
  </r>
  <r>
    <s v="emmaroberts"/>
    <n v="686"/>
    <x v="8"/>
    <s v="18.1M"/>
    <x v="2"/>
    <s v="126.7K"/>
    <s v="187.8K"/>
    <x v="285"/>
    <n v="126700"/>
    <n v="187800"/>
    <n v="7.0000000000000001E-3"/>
  </r>
  <r>
    <s v="lucyhale"/>
    <n v="687"/>
    <x v="8"/>
    <s v="24.5M"/>
    <x v="2"/>
    <s v="106.3K"/>
    <s v="139.1K"/>
    <x v="158"/>
    <n v="106300"/>
    <n v="139100"/>
    <n v="4.3387755102040817E-3"/>
  </r>
  <r>
    <s v="stebinben"/>
    <n v="688"/>
    <x v="96"/>
    <s v="10.6M"/>
    <x v="0"/>
    <s v="260.2K"/>
    <s v="318.9K"/>
    <x v="348"/>
    <n v="260200"/>
    <n v="318900"/>
    <n v="2.4547169811320754E-2"/>
  </r>
  <r>
    <s v="juki_lop"/>
    <n v="689"/>
    <x v="120"/>
    <s v="9.4M"/>
    <x v="6"/>
    <s v="314.5K"/>
    <s v="365.5K"/>
    <x v="209"/>
    <n v="314500"/>
    <n v="365500"/>
    <n v="3.3457446808510635E-2"/>
  </r>
  <r>
    <s v="alfinetei"/>
    <n v="690"/>
    <x v="65"/>
    <s v="21.7M"/>
    <x v="3"/>
    <s v="71.1K"/>
    <s v="160.9K"/>
    <x v="183"/>
    <n v="71100"/>
    <n v="160900"/>
    <n v="3.2764976958525346E-3"/>
  </r>
  <r>
    <s v="centralcee"/>
    <n v="691"/>
    <x v="121"/>
    <s v="3.7M"/>
    <x v="20"/>
    <s v="382.2K"/>
    <s v="936K"/>
    <x v="332"/>
    <n v="382200"/>
    <n v="936000"/>
    <n v="0.10329729729729729"/>
  </r>
  <r>
    <s v="syifahadjureal"/>
    <n v="692"/>
    <x v="29"/>
    <s v="15.4M"/>
    <x v="4"/>
    <s v="177.6K"/>
    <s v="219.3K"/>
    <x v="365"/>
    <n v="177600"/>
    <n v="219300"/>
    <n v="1.1532467532467533E-2"/>
  </r>
  <r>
    <s v="d_degeaofficial"/>
    <n v="693"/>
    <x v="0"/>
    <s v="13.5M"/>
    <x v="20"/>
    <s v="176.1K"/>
    <s v="248.8K"/>
    <x v="174"/>
    <n v="176100"/>
    <n v="248800"/>
    <n v="1.3044444444444444E-2"/>
  </r>
  <r>
    <s v="elmarianaa"/>
    <n v="694"/>
    <x v="65"/>
    <s v="3.8M"/>
    <x v="6"/>
    <s v="607.3K"/>
    <s v="887.8K"/>
    <x v="366"/>
    <n v="607300"/>
    <n v="887800"/>
    <n v="0.15981578947368422"/>
  </r>
  <r>
    <s v="calumhood"/>
    <n v="695"/>
    <x v="3"/>
    <s v="7M"/>
    <x v="2"/>
    <s v="305.9K"/>
    <s v="490.9K"/>
    <x v="344"/>
    <n v="305900"/>
    <n v="490900"/>
    <n v="4.3700000000000003E-2"/>
  </r>
  <r>
    <s v="coolio_daryl"/>
    <n v="696"/>
    <x v="61"/>
    <s v="5.9M"/>
    <x v="17"/>
    <n v="0"/>
    <s v="581.3K"/>
    <x v="182"/>
    <m/>
    <m/>
    <m/>
  </r>
  <r>
    <s v="willyrex"/>
    <n v="697"/>
    <x v="62"/>
    <s v="8.7M"/>
    <x v="12"/>
    <s v="330.3K"/>
    <s v="392.1K"/>
    <x v="213"/>
    <n v="330300"/>
    <n v="392100"/>
    <n v="3.796551724137931E-2"/>
  </r>
  <r>
    <s v="liltjay"/>
    <n v="698"/>
    <x v="28"/>
    <s v="7.4M"/>
    <x v="2"/>
    <s v="251.6K"/>
    <s v="464.5K"/>
    <x v="314"/>
    <n v="251600"/>
    <n v="464500"/>
    <n v="3.4000000000000002E-2"/>
  </r>
  <r>
    <s v="floydmayweather"/>
    <n v="699"/>
    <x v="84"/>
    <s v="28.4M"/>
    <x v="2"/>
    <s v="66.9K"/>
    <s v="118.1K"/>
    <x v="324"/>
    <n v="66900"/>
    <n v="118100"/>
    <n v="2.3556338028169013E-3"/>
  </r>
  <r>
    <s v="georgenotfound"/>
    <n v="700"/>
    <x v="61"/>
    <s v="3M"/>
    <x v="2"/>
    <s v="1M"/>
    <s v="1.1M"/>
    <x v="367"/>
    <n v="1000000"/>
    <n v="1100000"/>
    <n v="0.33333333333333331"/>
  </r>
  <r>
    <s v="onwardwanna"/>
    <n v="701"/>
    <x v="46"/>
    <s v="5.6M"/>
    <x v="2"/>
    <s v="364.7K"/>
    <s v="608.3K"/>
    <x v="313"/>
    <n v="364700"/>
    <n v="608300"/>
    <n v="6.5125000000000002E-2"/>
  </r>
  <r>
    <s v="milad_khahhh"/>
    <n v="702"/>
    <x v="9"/>
    <s v="6.5M"/>
    <x v="14"/>
    <s v="379.9K"/>
    <s v="541K"/>
    <x v="244"/>
    <n v="379900"/>
    <n v="541000"/>
    <n v="5.8446153846153849E-2"/>
  </r>
  <r>
    <s v="angela_aguilar_"/>
    <n v="703"/>
    <x v="9"/>
    <s v="8.7M"/>
    <x v="6"/>
    <s v="316.9K"/>
    <s v="383.6K"/>
    <x v="213"/>
    <n v="316900"/>
    <n v="383600"/>
    <n v="3.6425287356321841E-2"/>
  </r>
  <r>
    <s v="kaliuchis"/>
    <n v="704"/>
    <x v="3"/>
    <s v="3.9M"/>
    <x v="2"/>
    <s v="491.7K"/>
    <s v="848.7K"/>
    <x v="346"/>
    <n v="491700"/>
    <n v="848700"/>
    <n v="0.12607692307692309"/>
  </r>
  <r>
    <s v="joaoguilherme"/>
    <n v="705"/>
    <x v="122"/>
    <s v="16.1M"/>
    <x v="3"/>
    <s v="105.8K"/>
    <s v="205.5K"/>
    <x v="186"/>
    <n v="105800"/>
    <n v="205500"/>
    <n v="6.5714285714285709E-3"/>
  </r>
  <r>
    <s v="salmahayek"/>
    <n v="707"/>
    <x v="8"/>
    <s v="21.5M"/>
    <x v="2"/>
    <s v="123.9K"/>
    <s v="152.5K"/>
    <x v="368"/>
    <n v="123900"/>
    <n v="152500"/>
    <n v="5.7627906976744185E-3"/>
  </r>
  <r>
    <s v="rezagolzar"/>
    <n v="708"/>
    <x v="8"/>
    <s v="12.2M"/>
    <x v="14"/>
    <s v="190.9K"/>
    <s v="280.7K"/>
    <x v="274"/>
    <n v="190900"/>
    <n v="280700"/>
    <n v="1.5647540983606559E-2"/>
  </r>
  <r>
    <s v="acunilicali"/>
    <n v="709"/>
    <x v="8"/>
    <s v="13.7M"/>
    <x v="11"/>
    <s v="198.6K"/>
    <s v="245.4K"/>
    <x v="225"/>
    <n v="198600"/>
    <n v="245400"/>
    <n v="1.4496350364963504E-2"/>
  </r>
  <r>
    <s v="lacikaysomers"/>
    <n v="710"/>
    <x v="112"/>
    <s v="12.2M"/>
    <x v="2"/>
    <s v="158.6K"/>
    <s v="272.3K"/>
    <x v="274"/>
    <n v="158600"/>
    <n v="272300"/>
    <n v="1.2999999999999999E-2"/>
  </r>
  <r>
    <s v="karna.val"/>
    <n v="711"/>
    <x v="9"/>
    <s v="7.3M"/>
    <x v="7"/>
    <s v="385.1K"/>
    <s v="449.2K"/>
    <x v="246"/>
    <n v="385100"/>
    <n v="449200"/>
    <n v="5.2753424657534249E-2"/>
  </r>
  <r>
    <s v="arsenal"/>
    <n v="712"/>
    <x v="0"/>
    <s v="22.2M"/>
    <x v="20"/>
    <s v="97.3K"/>
    <s v="146K"/>
    <x v="68"/>
    <n v="97300"/>
    <n v="146000"/>
    <n v="4.3828828828828825E-3"/>
  </r>
  <r>
    <s v="anas"/>
    <n v="713"/>
    <x v="123"/>
    <s v="5.7M"/>
    <x v="17"/>
    <n v="0"/>
    <s v="577.7K"/>
    <x v="182"/>
    <m/>
    <m/>
    <m/>
  </r>
  <r>
    <s v="saipallavi.senthamarai"/>
    <n v="714"/>
    <x v="8"/>
    <s v="5.9M"/>
    <x v="0"/>
    <s v="481.1K"/>
    <s v="551.9K"/>
    <x v="243"/>
    <n v="481100"/>
    <n v="551900"/>
    <n v="8.1542372881355935E-2"/>
  </r>
  <r>
    <s v="nct_dream"/>
    <n v="715"/>
    <x v="3"/>
    <s v="10.2M"/>
    <x v="4"/>
    <s v="280.8K"/>
    <s v="312.5K"/>
    <x v="215"/>
    <n v="280800"/>
    <n v="312500"/>
    <n v="2.7529411764705882E-2"/>
  </r>
  <r>
    <s v="violets.tv"/>
    <n v="716"/>
    <x v="88"/>
    <s v="13.9M"/>
    <x v="9"/>
    <s v="171.7K"/>
    <s v="236K"/>
    <x v="286"/>
    <n v="171700"/>
    <n v="236000"/>
    <n v="1.2352517985611511E-2"/>
  </r>
  <r>
    <s v="tohi"/>
    <n v="717"/>
    <x v="9"/>
    <s v="12M"/>
    <x v="14"/>
    <s v="188.4K"/>
    <s v="275.2K"/>
    <x v="245"/>
    <n v="188400"/>
    <n v="275200"/>
    <n v="1.5699999999999999E-2"/>
  </r>
  <r>
    <s v="rodridepaul"/>
    <n v="718"/>
    <x v="0"/>
    <s v="4.8M"/>
    <x v="1"/>
    <s v="372.7K"/>
    <s v="675.7K"/>
    <x v="369"/>
    <n v="372700"/>
    <n v="675700"/>
    <n v="7.7645833333333331E-2"/>
  </r>
  <r>
    <s v="maneskinofficial"/>
    <n v="719"/>
    <x v="9"/>
    <s v="6.1M"/>
    <x v="9"/>
    <s v="374.4K"/>
    <s v="528.4K"/>
    <x v="342"/>
    <n v="374400"/>
    <n v="528400"/>
    <n v="6.1377049180327867E-2"/>
  </r>
  <r>
    <s v="wanda_nara"/>
    <n v="720"/>
    <x v="9"/>
    <s v="13.6M"/>
    <x v="1"/>
    <s v="165.2K"/>
    <s v="233.3K"/>
    <x v="142"/>
    <n v="165200"/>
    <n v="233300"/>
    <n v="1.2147058823529412E-2"/>
  </r>
  <r>
    <s v="perspolis"/>
    <n v="721"/>
    <x v="0"/>
    <s v="8.1M"/>
    <x v="14"/>
    <s v="281.2K"/>
    <s v="400.1K"/>
    <x v="283"/>
    <n v="281200"/>
    <n v="400100"/>
    <n v="3.4716049382716052E-2"/>
  </r>
  <r>
    <s v="grisha_eric"/>
    <n v="722"/>
    <x v="61"/>
    <s v="12.4M"/>
    <x v="11"/>
    <s v="174.8K"/>
    <s v="252.1K"/>
    <x v="370"/>
    <n v="174800"/>
    <n v="252100"/>
    <n v="1.4096774193548387E-2"/>
  </r>
  <r>
    <s v="miamalkova"/>
    <n v="723"/>
    <x v="8"/>
    <s v="11M"/>
    <x v="0"/>
    <s v="211.9K"/>
    <s v="287.6K"/>
    <x v="260"/>
    <n v="211900"/>
    <n v="287600"/>
    <n v="1.9263636363636365E-2"/>
  </r>
  <r>
    <s v="nba"/>
    <n v="724"/>
    <x v="0"/>
    <s v="69M"/>
    <x v="2"/>
    <s v="29.9K"/>
    <s v="45.3K"/>
    <x v="371"/>
    <n v="29900"/>
    <n v="45300"/>
    <n v="4.3333333333333331E-4"/>
  </r>
  <r>
    <s v="gima_ashi"/>
    <n v="725"/>
    <x v="9"/>
    <s v="14.6M"/>
    <x v="0"/>
    <s v="157.3K"/>
    <s v="214.4K"/>
    <x v="176"/>
    <n v="157300"/>
    <n v="214400"/>
    <n v="1.0773972602739726E-2"/>
  </r>
  <r>
    <s v="burcuozberk"/>
    <n v="726"/>
    <x v="8"/>
    <s v="9.3M"/>
    <x v="11"/>
    <s v="263.7K"/>
    <s v="341.7K"/>
    <x v="221"/>
    <n v="263700"/>
    <n v="341700"/>
    <n v="2.8354838709677418E-2"/>
  </r>
  <r>
    <s v="everyone_woo"/>
    <n v="727"/>
    <x v="3"/>
    <s v="2.9M"/>
    <x v="4"/>
    <s v="835K"/>
    <s v="1.1M"/>
    <x v="372"/>
    <n v="835000"/>
    <n v="1100000"/>
    <n v="0.28793103448275864"/>
  </r>
  <r>
    <s v="egupta"/>
    <n v="728"/>
    <x v="30"/>
    <s v="8.7M"/>
    <x v="0"/>
    <s v="286.4K"/>
    <s v="359.1K"/>
    <x v="213"/>
    <n v="286400"/>
    <n v="359100"/>
    <n v="3.291954022988506E-2"/>
  </r>
  <r>
    <s v="jennifer.garner"/>
    <n v="729"/>
    <x v="8"/>
    <s v="13.3M"/>
    <x v="2"/>
    <s v="202.7K"/>
    <s v="229.3K"/>
    <x v="293"/>
    <n v="202700"/>
    <n v="229300"/>
    <n v="1.5240601503759398E-2"/>
  </r>
  <r>
    <s v="normani"/>
    <n v="730"/>
    <x v="9"/>
    <s v="7.3M"/>
    <x v="2"/>
    <s v="271.1K"/>
    <s v="423.6K"/>
    <x v="246"/>
    <n v="271100"/>
    <n v="423600"/>
    <n v="3.7136986301369863E-2"/>
  </r>
  <r>
    <s v="03_hu"/>
    <n v="731"/>
    <x v="9"/>
    <s v="4.2M"/>
    <x v="5"/>
    <s v="600.1K"/>
    <s v="736.1K"/>
    <x v="362"/>
    <n v="600100"/>
    <n v="736100"/>
    <n v="0.14288095238095239"/>
  </r>
  <r>
    <s v="mrancelotti"/>
    <n v="732"/>
    <x v="0"/>
    <s v="8.4M"/>
    <x v="9"/>
    <s v="234.7K"/>
    <s v="366K"/>
    <x v="241"/>
    <n v="234700"/>
    <n v="366000"/>
    <n v="2.7940476190476189E-2"/>
  </r>
  <r>
    <s v="jorgelopez_as"/>
    <n v="733"/>
    <x v="8"/>
    <s v="9.6M"/>
    <x v="3"/>
    <s v="194K"/>
    <s v="318.5K"/>
    <x v="93"/>
    <n v="194000"/>
    <n v="318500"/>
    <n v="2.0208333333333332E-2"/>
  </r>
  <r>
    <s v="huddy"/>
    <n v="734"/>
    <x v="55"/>
    <s v="11.7M"/>
    <x v="2"/>
    <s v="186.1K"/>
    <s v="256.9K"/>
    <x v="326"/>
    <n v="186100"/>
    <n v="256899.99999999997"/>
    <n v="1.5905982905982906E-2"/>
  </r>
  <r>
    <s v="kenzie"/>
    <n v="735"/>
    <x v="20"/>
    <s v="14.9M"/>
    <x v="2"/>
    <s v="132.3K"/>
    <s v="201.4K"/>
    <x v="223"/>
    <n v="132300"/>
    <n v="201400"/>
    <n v="8.8791946308724827E-3"/>
  </r>
  <r>
    <s v="staskaranikolaou"/>
    <n v="737"/>
    <x v="9"/>
    <s v="11.1M"/>
    <x v="2"/>
    <s v="184.6K"/>
    <s v="271.4K"/>
    <x v="216"/>
    <n v="184600"/>
    <n v="271400"/>
    <n v="1.6630630630630631E-2"/>
  </r>
  <r>
    <s v="saharghoreyshiofficialpage"/>
    <n v="738"/>
    <x v="9"/>
    <s v="11.6M"/>
    <x v="14"/>
    <s v="179.7K"/>
    <s v="262K"/>
    <x v="257"/>
    <n v="179700"/>
    <n v="262000"/>
    <n v="1.5491379310344828E-2"/>
  </r>
  <r>
    <s v="beberexha"/>
    <n v="739"/>
    <x v="7"/>
    <s v="10.8M"/>
    <x v="0"/>
    <s v="188.5K"/>
    <s v="279.2K"/>
    <x v="150"/>
    <n v="188500"/>
    <n v="279200"/>
    <n v="1.7453703703703704E-2"/>
  </r>
  <r>
    <s v="dqsalmaan"/>
    <n v="740"/>
    <x v="8"/>
    <s v="10.6M"/>
    <x v="0"/>
    <s v="208.6K"/>
    <s v="282.5K"/>
    <x v="348"/>
    <n v="208600"/>
    <n v="282500"/>
    <n v="1.9679245283018867E-2"/>
  </r>
  <r>
    <s v="soyneiva"/>
    <n v="741"/>
    <x v="88"/>
    <s v="11.9M"/>
    <x v="3"/>
    <s v="188.4K"/>
    <s v="252.2K"/>
    <x v="373"/>
    <n v="188400"/>
    <n v="252200"/>
    <n v="1.5831932773109243E-2"/>
  </r>
  <r>
    <s v="tamannaahspeaks"/>
    <n v="742"/>
    <x v="16"/>
    <s v="17.2M"/>
    <x v="0"/>
    <s v="148.1K"/>
    <s v="172.8K"/>
    <x v="261"/>
    <n v="148100"/>
    <n v="172800"/>
    <n v="8.6104651162790691E-3"/>
  </r>
  <r>
    <s v="dava_m"/>
    <n v="743"/>
    <x v="94"/>
    <s v="13.6M"/>
    <x v="7"/>
    <s v="170.9K"/>
    <s v="220.9K"/>
    <x v="142"/>
    <n v="170900"/>
    <n v="220900"/>
    <n v="1.2566176470588235E-2"/>
  </r>
  <r>
    <s v="nodal"/>
    <n v="744"/>
    <x v="3"/>
    <s v="9.4M"/>
    <x v="6"/>
    <s v="220.7K"/>
    <s v="324.8K"/>
    <x v="209"/>
    <n v="220700"/>
    <n v="324800"/>
    <n v="2.347872340425532E-2"/>
  </r>
  <r>
    <s v="vanessabryant"/>
    <n v="745"/>
    <x v="124"/>
    <s v="15.6M"/>
    <x v="2"/>
    <s v="144.6K"/>
    <s v="189.3K"/>
    <x v="374"/>
    <n v="144600"/>
    <n v="189300"/>
    <n v="9.2692307692307692E-3"/>
  </r>
  <r>
    <s v="littlemix"/>
    <n v="746"/>
    <x v="3"/>
    <s v="16M"/>
    <x v="3"/>
    <s v="137.9K"/>
    <s v="186.4K"/>
    <x v="137"/>
    <n v="137900"/>
    <n v="186400"/>
    <n v="8.6187499999999997E-3"/>
  </r>
  <r>
    <s v="issavegas"/>
    <n v="747"/>
    <x v="84"/>
    <s v="9.1M"/>
    <x v="6"/>
    <s v="281.7K"/>
    <s v="330.8K"/>
    <x v="359"/>
    <n v="281700"/>
    <n v="330800"/>
    <n v="3.0956043956043955E-2"/>
  </r>
  <r>
    <s v="iqbaal.e"/>
    <n v="748"/>
    <x v="8"/>
    <s v="13.5M"/>
    <x v="4"/>
    <s v="127.7K"/>
    <s v="220K"/>
    <x v="174"/>
    <n v="127700"/>
    <n v="220000"/>
    <n v="9.4592592592592593E-3"/>
  </r>
  <r>
    <s v="fadiljaidi"/>
    <n v="749"/>
    <x v="9"/>
    <s v="7.7M"/>
    <x v="4"/>
    <s v="259.5K"/>
    <s v="389.5K"/>
    <x v="375"/>
    <n v="259500"/>
    <n v="389500"/>
    <n v="3.3701298701298704E-2"/>
  </r>
  <r>
    <s v="briandadeyanara"/>
    <n v="750"/>
    <x v="61"/>
    <s v="13M"/>
    <x v="6"/>
    <s v="192.5K"/>
    <s v="226.6K"/>
    <x v="165"/>
    <n v="192500"/>
    <n v="226600"/>
    <n v="1.4807692307692308E-2"/>
  </r>
  <r>
    <s v="avrillavigne"/>
    <n v="751"/>
    <x v="70"/>
    <s v="11.4M"/>
    <x v="3"/>
    <s v="207.3K"/>
    <s v="257.7K"/>
    <x v="325"/>
    <n v="207300"/>
    <n v="257700"/>
    <n v="1.8184210526315789E-2"/>
  </r>
  <r>
    <s v="rafaelnadal"/>
    <n v="752"/>
    <x v="0"/>
    <s v="15.6M"/>
    <x v="12"/>
    <s v="151.1K"/>
    <s v="188.8K"/>
    <x v="374"/>
    <n v="151100"/>
    <n v="188800"/>
    <n v="9.6858974358974351E-3"/>
  </r>
  <r>
    <s v="dearra"/>
    <n v="753"/>
    <x v="9"/>
    <s v="6.3M"/>
    <x v="2"/>
    <s v="192.2K"/>
    <s v="478.5K"/>
    <x v="292"/>
    <n v="192200"/>
    <n v="478500"/>
    <n v="3.0507936507936508E-2"/>
  </r>
  <r>
    <s v="courteneycoxofficial"/>
    <n v="754"/>
    <x v="8"/>
    <s v="12.2M"/>
    <x v="0"/>
    <s v="180.9K"/>
    <s v="239.4K"/>
    <x v="274"/>
    <n v="180900"/>
    <n v="239400"/>
    <n v="1.4827868852459016E-2"/>
  </r>
  <r>
    <s v="superm"/>
    <n v="755"/>
    <x v="125"/>
    <s v="5.2M"/>
    <x v="4"/>
    <s v="502.2K"/>
    <s v="570.4K"/>
    <x v="341"/>
    <n v="502200"/>
    <n v="570400"/>
    <n v="9.6576923076923074E-2"/>
  </r>
  <r>
    <s v="tamerhosny"/>
    <n v="756"/>
    <x v="16"/>
    <s v="22.7M"/>
    <x v="10"/>
    <s v="105K"/>
    <s v="129.1K"/>
    <x v="316"/>
    <n v="105000"/>
    <n v="129100"/>
    <n v="4.6255506607929516E-3"/>
  </r>
  <r>
    <s v="valentinazenere"/>
    <n v="757"/>
    <x v="15"/>
    <s v="10M"/>
    <x v="3"/>
    <s v="238.5K"/>
    <s v="290.3K"/>
    <x v="201"/>
    <n v="238500"/>
    <n v="290300"/>
    <n v="2.385E-2"/>
  </r>
  <r>
    <s v="maddieziegler"/>
    <n v="758"/>
    <x v="34"/>
    <s v="13.9M"/>
    <x v="2"/>
    <s v="139.1K"/>
    <s v="208.1K"/>
    <x v="286"/>
    <n v="139100"/>
    <n v="208100"/>
    <n v="1.0007194244604316E-2"/>
  </r>
  <r>
    <s v="canelo"/>
    <n v="759"/>
    <x v="84"/>
    <s v="13.4M"/>
    <x v="6"/>
    <s v="154.5K"/>
    <s v="215.7K"/>
    <x v="269"/>
    <n v="154500"/>
    <n v="215700"/>
    <n v="1.1529850746268657E-2"/>
  </r>
  <r>
    <s v="vernonline"/>
    <n v="760"/>
    <x v="61"/>
    <s v="4.1M"/>
    <x v="17"/>
    <n v="0"/>
    <s v="719.4K"/>
    <x v="182"/>
    <m/>
    <m/>
    <m/>
  </r>
  <r>
    <s v="veradijkmans"/>
    <n v="761"/>
    <x v="88"/>
    <s v="5.4M"/>
    <x v="2"/>
    <s v="391.8K"/>
    <s v="550.7K"/>
    <x v="300"/>
    <n v="391800"/>
    <n v="550700"/>
    <n v="7.2555555555555554E-2"/>
  </r>
  <r>
    <s v="willevy"/>
    <n v="762"/>
    <x v="126"/>
    <s v="10.6M"/>
    <x v="3"/>
    <s v="204.3K"/>
    <s v="275.5K"/>
    <x v="348"/>
    <n v="204300"/>
    <n v="275500"/>
    <n v="1.9273584905660376E-2"/>
  </r>
  <r>
    <s v="natalee.007"/>
    <n v="763"/>
    <x v="127"/>
    <s v="7M"/>
    <x v="2"/>
    <s v="328K"/>
    <s v="419.6K"/>
    <x v="344"/>
    <n v="328000"/>
    <n v="419600"/>
    <n v="4.6857142857142854E-2"/>
  </r>
  <r>
    <s v="indiaroyale"/>
    <n v="764"/>
    <x v="9"/>
    <s v="4.3M"/>
    <x v="2"/>
    <s v="232.1K"/>
    <s v="687.7K"/>
    <x v="350"/>
    <n v="232100"/>
    <n v="687700"/>
    <n v="5.3976744186046512E-2"/>
  </r>
  <r>
    <s v="sebastianyatra"/>
    <n v="765"/>
    <x v="77"/>
    <s v="29.7M"/>
    <x v="1"/>
    <s v="70.6K"/>
    <s v="97.6K"/>
    <x v="376"/>
    <n v="70600"/>
    <n v="97600"/>
    <n v="2.3771043771043769E-3"/>
  </r>
  <r>
    <s v="yefersoncossio"/>
    <n v="766"/>
    <x v="9"/>
    <s v="9.5M"/>
    <x v="15"/>
    <s v="213.2K"/>
    <s v="313K"/>
    <x v="311"/>
    <n v="213200"/>
    <n v="313000"/>
    <n v="2.2442105263157895E-2"/>
  </r>
  <r>
    <s v="nabilla"/>
    <n v="767"/>
    <x v="19"/>
    <s v="7.7M"/>
    <x v="8"/>
    <s v="275K"/>
    <s v="378.6K"/>
    <x v="375"/>
    <n v="275000"/>
    <n v="378600"/>
    <n v="3.5714285714285712E-2"/>
  </r>
  <r>
    <s v="andresiniesta8"/>
    <n v="768"/>
    <x v="0"/>
    <s v="39.7M"/>
    <x v="12"/>
    <s v="49.4K"/>
    <s v="72.2K"/>
    <x v="377"/>
    <n v="49400"/>
    <n v="72200"/>
    <n v="1.2443324937027708E-3"/>
  </r>
  <r>
    <s v="spacex"/>
    <n v="769"/>
    <x v="128"/>
    <s v="15M"/>
    <x v="2"/>
    <s v="157.9K"/>
    <s v="191.7K"/>
    <x v="218"/>
    <n v="157900"/>
    <n v="191700"/>
    <n v="1.0526666666666667E-2"/>
  </r>
  <r>
    <s v="letthelordbewithyou"/>
    <n v="770"/>
    <x v="95"/>
    <s v="27.3M"/>
    <x v="2"/>
    <s v="68.8K"/>
    <s v="105.1K"/>
    <x v="227"/>
    <n v="68800"/>
    <n v="105100"/>
    <n v="2.5201465201465201E-3"/>
  </r>
  <r>
    <s v="soueunavida"/>
    <n v="771"/>
    <x v="65"/>
    <s v="18.1M"/>
    <x v="3"/>
    <s v="84.2K"/>
    <s v="159.8K"/>
    <x v="285"/>
    <n v="84200"/>
    <n v="159800"/>
    <n v="4.6519337016574583E-3"/>
  </r>
  <r>
    <s v="tiagopzk"/>
    <n v="772"/>
    <x v="3"/>
    <s v="5.1M"/>
    <x v="1"/>
    <s v="249.9K"/>
    <s v="570.3K"/>
    <x v="288"/>
    <n v="249900"/>
    <n v="570300"/>
    <n v="4.9000000000000002E-2"/>
  </r>
  <r>
    <s v="la_beaute_africaine"/>
    <n v="773"/>
    <x v="14"/>
    <s v="1.6M"/>
    <x v="29"/>
    <s v="919.9K"/>
    <s v="1.9M"/>
    <x v="378"/>
    <n v="919900"/>
    <n v="1900000"/>
    <n v="0.57493749999999999"/>
  </r>
  <r>
    <s v="alvaromorata"/>
    <n v="774"/>
    <x v="129"/>
    <s v="17.4M"/>
    <x v="9"/>
    <s v="105.7K"/>
    <s v="164.1K"/>
    <x v="207"/>
    <n v="105700"/>
    <n v="164100"/>
    <n v="6.0747126436781606E-3"/>
  </r>
  <r>
    <s v="ansufati"/>
    <n v="775"/>
    <x v="0"/>
    <s v="8.7M"/>
    <x v="12"/>
    <s v="217.8K"/>
    <s v="330.3K"/>
    <x v="213"/>
    <n v="217800"/>
    <n v="330300"/>
    <n v="2.5034482758620691E-2"/>
  </r>
  <r>
    <s v="joelocke03"/>
    <n v="776"/>
    <x v="22"/>
    <s v="3.1M"/>
    <x v="2"/>
    <n v="0"/>
    <s v="918.6K"/>
    <x v="182"/>
    <m/>
    <m/>
    <m/>
  </r>
  <r>
    <s v="dagelan"/>
    <n v="777"/>
    <x v="65"/>
    <s v="20.9M"/>
    <x v="4"/>
    <s v="80.8K"/>
    <s v="137.6K"/>
    <x v="117"/>
    <n v="80800"/>
    <n v="137600"/>
    <n v="3.8660287081339713E-3"/>
  </r>
  <r>
    <s v="bumkeyk"/>
    <n v="778"/>
    <x v="3"/>
    <s v="9.2M"/>
    <x v="4"/>
    <s v="259.1K"/>
    <s v="310.4K"/>
    <x v="337"/>
    <n v="259100.00000000003"/>
    <n v="310400"/>
    <n v="2.8163043478260874E-2"/>
  </r>
  <r>
    <s v="tombrady"/>
    <n v="779"/>
    <x v="0"/>
    <s v="12.5M"/>
    <x v="2"/>
    <s v="123K"/>
    <s v="227.9K"/>
    <x v="233"/>
    <n v="123000"/>
    <n v="227900"/>
    <n v="9.8399999999999998E-3"/>
  </r>
  <r>
    <s v="streetartglobe"/>
    <n v="780"/>
    <x v="20"/>
    <s v="17M"/>
    <x v="2"/>
    <s v="123K"/>
    <s v="166.8K"/>
    <x v="94"/>
    <n v="123000"/>
    <n v="166800"/>
    <n v="7.2352941176470585E-3"/>
  </r>
  <r>
    <s v="nobru"/>
    <n v="781"/>
    <x v="130"/>
    <s v="13.5M"/>
    <x v="3"/>
    <s v="145.3K"/>
    <s v="211.9K"/>
    <x v="174"/>
    <n v="145300"/>
    <n v="211900"/>
    <n v="1.0762962962962964E-2"/>
  </r>
  <r>
    <s v="philfoden"/>
    <n v="782"/>
    <x v="0"/>
    <s v="5M"/>
    <x v="20"/>
    <s v="326.2K"/>
    <s v="571.5K"/>
    <x v="356"/>
    <n v="326200"/>
    <n v="571500"/>
    <n v="6.5240000000000006E-2"/>
  </r>
  <r>
    <s v="brycehall"/>
    <n v="783"/>
    <x v="3"/>
    <s v="7.3M"/>
    <x v="2"/>
    <s v="304.6K"/>
    <s v="390.7K"/>
    <x v="246"/>
    <n v="304600"/>
    <n v="390700"/>
    <n v="4.1726027397260272E-2"/>
  </r>
  <r>
    <s v="kaka"/>
    <n v="784"/>
    <x v="0"/>
    <s v="18.7M"/>
    <x v="3"/>
    <s v="91K"/>
    <s v="148.4K"/>
    <x v="224"/>
    <n v="91000"/>
    <n v="148400"/>
    <n v="4.8663101604278078E-3"/>
  </r>
  <r>
    <s v="adidasfootball"/>
    <n v="785"/>
    <x v="0"/>
    <s v="31.5M"/>
    <x v="3"/>
    <s v="64.8K"/>
    <s v="88.1K"/>
    <x v="379"/>
    <n v="64800"/>
    <n v="88100"/>
    <n v="2.0571428571428572E-3"/>
  </r>
  <r>
    <s v="asala"/>
    <n v="786"/>
    <x v="62"/>
    <s v="6.9M"/>
    <x v="26"/>
    <n v="0"/>
    <s v="408.6K"/>
    <x v="182"/>
    <m/>
    <m/>
    <m/>
  </r>
  <r>
    <s v="theamitbhadana"/>
    <n v="787"/>
    <x v="62"/>
    <s v="8.4M"/>
    <x v="0"/>
    <s v="277.6K"/>
    <s v="342.8K"/>
    <x v="241"/>
    <n v="277600"/>
    <n v="342800"/>
    <n v="3.3047619047619048E-2"/>
  </r>
  <r>
    <s v="yg_treasure_official"/>
    <n v="788"/>
    <x v="3"/>
    <s v="5.4M"/>
    <x v="4"/>
    <s v="408.9K"/>
    <s v="522.6K"/>
    <x v="300"/>
    <n v="408900"/>
    <n v="522600"/>
    <n v="7.5722222222222219E-2"/>
  </r>
  <r>
    <s v="brfootball"/>
    <n v="789"/>
    <x v="0"/>
    <s v="12.4M"/>
    <x v="2"/>
    <s v="137.9K"/>
    <s v="222.5K"/>
    <x v="370"/>
    <n v="137900"/>
    <n v="222500"/>
    <n v="1.1120967741935484E-2"/>
  </r>
  <r>
    <s v="jenna_chew"/>
    <n v="790"/>
    <x v="84"/>
    <s v="6.7M"/>
    <x v="2"/>
    <s v="344.9K"/>
    <s v="421.4K"/>
    <x v="299"/>
    <n v="344900"/>
    <n v="421400"/>
    <n v="5.1477611940298505E-2"/>
  </r>
  <r>
    <s v="cocielo"/>
    <n v="791"/>
    <x v="8"/>
    <s v="18.7M"/>
    <x v="3"/>
    <s v="94.5K"/>
    <s v="147.7K"/>
    <x v="224"/>
    <n v="94500"/>
    <n v="147700"/>
    <n v="5.053475935828877E-3"/>
  </r>
  <r>
    <s v="hyeri_0609"/>
    <n v="792"/>
    <x v="3"/>
    <s v="7.3M"/>
    <x v="5"/>
    <s v="320.1K"/>
    <s v="385.7K"/>
    <x v="246"/>
    <n v="320100"/>
    <n v="385700"/>
    <n v="4.3849315068493148E-2"/>
  </r>
  <r>
    <s v="netflix"/>
    <n v="793"/>
    <x v="38"/>
    <s v="30.4M"/>
    <x v="3"/>
    <s v="55.8K"/>
    <s v="90.5K"/>
    <x v="380"/>
    <n v="55800"/>
    <n v="90500"/>
    <n v="1.8355263157894736E-3"/>
  </r>
  <r>
    <s v="sagar_pop02"/>
    <n v="794"/>
    <x v="9"/>
    <s v="7.5M"/>
    <x v="0"/>
    <s v="237.7K"/>
    <s v="373.9K"/>
    <x v="381"/>
    <n v="237700"/>
    <n v="373900"/>
    <n v="3.169333333333333E-2"/>
  </r>
  <r>
    <s v="skaijackson"/>
    <n v="795"/>
    <x v="91"/>
    <s v="8M"/>
    <x v="2"/>
    <s v="198.4K"/>
    <s v="350.5K"/>
    <x v="232"/>
    <n v="198400"/>
    <n v="350500"/>
    <n v="2.4799999999999999E-2"/>
  </r>
  <r>
    <s v="dejesusoficial"/>
    <n v="796"/>
    <x v="0"/>
    <s v="17.5M"/>
    <x v="3"/>
    <s v="101.6K"/>
    <s v="156.8K"/>
    <x v="308"/>
    <n v="101600"/>
    <n v="156800"/>
    <n v="5.8057142857142856E-3"/>
  </r>
  <r>
    <s v="kawtarbamo"/>
    <n v="797"/>
    <x v="8"/>
    <s v="7.4M"/>
    <x v="24"/>
    <s v="277K"/>
    <s v="375.3K"/>
    <x v="314"/>
    <n v="277000"/>
    <n v="375300"/>
    <n v="3.7432432432432432E-2"/>
  </r>
  <r>
    <s v="roddyricch"/>
    <n v="798"/>
    <x v="9"/>
    <s v="6.9M"/>
    <x v="2"/>
    <s v="210.5K"/>
    <s v="404.2K"/>
    <x v="180"/>
    <n v="210500"/>
    <n v="404200"/>
    <n v="3.0507246376811594E-2"/>
  </r>
  <r>
    <s v="barackobama"/>
    <n v="799"/>
    <x v="82"/>
    <s v="35.4M"/>
    <x v="2"/>
    <s v="66.7K"/>
    <s v="77.5K"/>
    <x v="111"/>
    <n v="66700"/>
    <n v="77500"/>
    <n v="1.8841807909604519E-3"/>
  </r>
  <r>
    <s v="dhanushkraja"/>
    <n v="800"/>
    <x v="8"/>
    <s v="4.4M"/>
    <x v="0"/>
    <s v="489.7K"/>
    <s v="634.4K"/>
    <x v="360"/>
    <n v="489700"/>
    <n v="634400"/>
    <n v="0.11129545454545454"/>
  </r>
  <r>
    <s v="bowerjamie"/>
    <n v="801"/>
    <x v="8"/>
    <s v="3.8M"/>
    <x v="9"/>
    <s v="547.2K"/>
    <s v="730K"/>
    <x v="366"/>
    <n v="547200"/>
    <n v="730000"/>
    <n v="0.14399999999999999"/>
  </r>
  <r>
    <s v="galatasaray"/>
    <n v="802"/>
    <x v="0"/>
    <s v="11.5M"/>
    <x v="11"/>
    <s v="195.7K"/>
    <s v="236.4K"/>
    <x v="317"/>
    <n v="195700"/>
    <n v="236400"/>
    <n v="1.7017391304347824E-2"/>
  </r>
  <r>
    <s v="tomhardy"/>
    <n v="803"/>
    <x v="131"/>
    <s v="8.7M"/>
    <x v="14"/>
    <s v="252.6K"/>
    <s v="313.5K"/>
    <x v="213"/>
    <n v="252600"/>
    <n v="313500"/>
    <n v="2.9034482758620691E-2"/>
  </r>
  <r>
    <s v="pooorblack"/>
    <n v="804"/>
    <x v="61"/>
    <s v="4.6M"/>
    <x v="14"/>
    <s v="472.8K"/>
    <s v="611.6K"/>
    <x v="382"/>
    <n v="472800"/>
    <n v="611600"/>
    <n v="0.10278260869565217"/>
  </r>
  <r>
    <s v="tejasswiprakash"/>
    <n v="805"/>
    <x v="19"/>
    <s v="6.1M"/>
    <x v="0"/>
    <s v="396.1K"/>
    <s v="491.8K"/>
    <x v="342"/>
    <n v="396100"/>
    <n v="491800"/>
    <n v="6.4934426229508194E-2"/>
  </r>
  <r>
    <s v="larray"/>
    <n v="806"/>
    <x v="132"/>
    <s v="6.8M"/>
    <x v="2"/>
    <s v="277.6K"/>
    <s v="406.4K"/>
    <x v="383"/>
    <n v="277600"/>
    <n v="406400"/>
    <n v="4.0823529411764703E-2"/>
  </r>
  <r>
    <s v="princessyahrini"/>
    <n v="807"/>
    <x v="3"/>
    <s v="39.6M"/>
    <x v="4"/>
    <s v="51.4K"/>
    <s v="68K"/>
    <x v="384"/>
    <n v="51400"/>
    <n v="68000"/>
    <n v="1.297979797979798E-3"/>
  </r>
  <r>
    <s v="celestinegonzaga"/>
    <n v="808"/>
    <x v="3"/>
    <s v="7.6M"/>
    <x v="16"/>
    <s v="323.2K"/>
    <s v="360.6K"/>
    <x v="212"/>
    <n v="323200"/>
    <n v="360600"/>
    <n v="4.2526315789473683E-2"/>
  </r>
  <r>
    <s v="nicolebahls"/>
    <n v="809"/>
    <x v="29"/>
    <s v="18.3M"/>
    <x v="3"/>
    <s v="83.8K"/>
    <s v="148.8K"/>
    <x v="210"/>
    <n v="83800"/>
    <n v="148800"/>
    <n v="4.5792349726775953E-3"/>
  </r>
  <r>
    <s v="noahbeck"/>
    <n v="810"/>
    <x v="0"/>
    <s v="9.2M"/>
    <x v="2"/>
    <s v="180.6K"/>
    <s v="298.3K"/>
    <x v="337"/>
    <n v="180600"/>
    <n v="298300"/>
    <n v="1.9630434782608695E-2"/>
  </r>
  <r>
    <s v="jordialbaoficial"/>
    <n v="811"/>
    <x v="0"/>
    <s v="14.5M"/>
    <x v="12"/>
    <s v="128.6K"/>
    <s v="185.5K"/>
    <x v="353"/>
    <n v="128600"/>
    <n v="185500"/>
    <n v="8.8689655172413794E-3"/>
  </r>
  <r>
    <s v="teyanataylor"/>
    <n v="812"/>
    <x v="3"/>
    <s v="15.2M"/>
    <x v="2"/>
    <s v="104.2K"/>
    <s v="177.1K"/>
    <x v="214"/>
    <n v="104200"/>
    <n v="177100"/>
    <n v="6.8552631578947367E-3"/>
  </r>
  <r>
    <s v="residente"/>
    <n v="813"/>
    <x v="3"/>
    <s v="8.8M"/>
    <x v="15"/>
    <s v="202.8K"/>
    <s v="314.7K"/>
    <x v="331"/>
    <n v="202800"/>
    <n v="314700"/>
    <n v="2.3045454545454546E-2"/>
  </r>
  <r>
    <s v="sivakarthikeyan"/>
    <n v="814"/>
    <x v="8"/>
    <s v="5.1M"/>
    <x v="0"/>
    <s v="456K"/>
    <s v="537.1K"/>
    <x v="288"/>
    <n v="456000"/>
    <n v="537100"/>
    <n v="8.9411764705882357E-2"/>
  </r>
  <r>
    <s v="wolfiecindy"/>
    <n v="815"/>
    <x v="15"/>
    <s v="7.1M"/>
    <x v="2"/>
    <s v="230.5K"/>
    <s v="383.3K"/>
    <x v="312"/>
    <n v="230500"/>
    <n v="383300"/>
    <n v="3.2464788732394369E-2"/>
  </r>
  <r>
    <s v="juliopfernandez"/>
    <n v="817"/>
    <x v="61"/>
    <s v="3.5M"/>
    <x v="3"/>
    <s v="618.1K"/>
    <s v="786.3K"/>
    <x v="385"/>
    <n v="618100"/>
    <n v="786300"/>
    <n v="0.17660000000000001"/>
  </r>
  <r>
    <s v="urassayas"/>
    <n v="818"/>
    <x v="133"/>
    <s v="11.8M"/>
    <x v="19"/>
    <s v="185.5K"/>
    <s v="226.5K"/>
    <x v="315"/>
    <n v="185500"/>
    <n v="226500"/>
    <n v="1.5720338983050846E-2"/>
  </r>
  <r>
    <s v="loud_babi"/>
    <n v="819"/>
    <x v="9"/>
    <s v="9.1M"/>
    <x v="3"/>
    <s v="186.4K"/>
    <s v="300.5K"/>
    <x v="359"/>
    <n v="186400"/>
    <n v="300500"/>
    <n v="2.0483516483516484E-2"/>
  </r>
  <r>
    <s v="aurelie.hermansyah"/>
    <n v="820"/>
    <x v="19"/>
    <s v="26.6M"/>
    <x v="4"/>
    <s v="80.2K"/>
    <s v="100.8K"/>
    <x v="52"/>
    <n v="80200"/>
    <n v="100800"/>
    <n v="3.0150375939849623E-3"/>
  </r>
  <r>
    <s v="watanabenaomi703"/>
    <n v="821"/>
    <x v="134"/>
    <s v="9.9M"/>
    <x v="27"/>
    <s v="257.2K"/>
    <s v="273.9K"/>
    <x v="256"/>
    <n v="257200"/>
    <n v="273900"/>
    <n v="2.5979797979797981E-2"/>
  </r>
  <r>
    <s v="sandrinna_11"/>
    <n v="822"/>
    <x v="9"/>
    <s v="10.7M"/>
    <x v="4"/>
    <s v="193.9K"/>
    <s v="247.6K"/>
    <x v="168"/>
    <n v="193900"/>
    <n v="247600"/>
    <n v="1.8121495327102805E-2"/>
  </r>
  <r>
    <s v="irinashayk"/>
    <n v="823"/>
    <x v="29"/>
    <s v="18.8M"/>
    <x v="7"/>
    <s v="102.1K"/>
    <s v="140.8K"/>
    <x v="386"/>
    <n v="102100"/>
    <n v="140800"/>
    <n v="5.4308510638297874E-3"/>
  </r>
  <r>
    <s v="pledis_boos"/>
    <n v="824"/>
    <x v="3"/>
    <s v="4.1M"/>
    <x v="4"/>
    <s v="540.2K"/>
    <s v="654.9K"/>
    <x v="387"/>
    <n v="540200"/>
    <n v="654900"/>
    <n v="0.13175609756097562"/>
  </r>
  <r>
    <s v="jessicajane99"/>
    <n v="825"/>
    <x v="9"/>
    <s v="6M"/>
    <x v="4"/>
    <s v="340.9K"/>
    <s v="449.4K"/>
    <x v="303"/>
    <n v="340900"/>
    <n v="449400"/>
    <n v="5.6816666666666668E-2"/>
  </r>
  <r>
    <s v="soydannyalfaro"/>
    <n v="826"/>
    <x v="19"/>
    <s v="8.1M"/>
    <x v="6"/>
    <s v="289.9K"/>
    <s v="331.6K"/>
    <x v="283"/>
    <n v="289900"/>
    <n v="331600"/>
    <n v="3.5790123456790127E-2"/>
  </r>
  <r>
    <s v="wdohwan"/>
    <n v="827"/>
    <x v="8"/>
    <s v="4.5M"/>
    <x v="4"/>
    <s v="452.2K"/>
    <s v="599.2K"/>
    <x v="364"/>
    <n v="452200"/>
    <n v="599200"/>
    <n v="0.10048888888888889"/>
  </r>
  <r>
    <s v="albafloresoficial"/>
    <n v="828"/>
    <x v="8"/>
    <s v="11.7M"/>
    <x v="12"/>
    <s v="167.3K"/>
    <s v="225.4K"/>
    <x v="326"/>
    <n v="167300"/>
    <n v="225400"/>
    <n v="1.42991452991453E-2"/>
  </r>
  <r>
    <s v="borodylia"/>
    <n v="829"/>
    <x v="120"/>
    <s v="18.4M"/>
    <x v="7"/>
    <s v="116.7K"/>
    <s v="143.4K"/>
    <x v="250"/>
    <n v="116700"/>
    <n v="143400"/>
    <n v="6.3423913043478258E-3"/>
  </r>
  <r>
    <s v="markruffalo"/>
    <n v="830"/>
    <x v="8"/>
    <s v="20.9M"/>
    <x v="3"/>
    <s v="100K"/>
    <s v="127.3K"/>
    <x v="117"/>
    <n v="100000"/>
    <n v="127300"/>
    <n v="4.7846889952153108E-3"/>
  </r>
  <r>
    <s v="adinross"/>
    <n v="831"/>
    <x v="61"/>
    <s v="3M"/>
    <x v="2"/>
    <s v="509K"/>
    <s v="1M"/>
    <x v="367"/>
    <n v="509000"/>
    <n v="1000000"/>
    <n v="0.16966666666666666"/>
  </r>
  <r>
    <s v="anwar"/>
    <n v="832"/>
    <x v="62"/>
    <s v="10.3M"/>
    <x v="2"/>
    <s v="173.7K"/>
    <s v="256K"/>
    <x v="169"/>
    <n v="173700"/>
    <n v="256000"/>
    <n v="1.6864077669902913E-2"/>
  </r>
  <r>
    <s v="iampauloandre"/>
    <n v="833"/>
    <x v="9"/>
    <s v="10M"/>
    <x v="3"/>
    <s v="76.9K"/>
    <s v="270.3K"/>
    <x v="201"/>
    <n v="76900"/>
    <n v="270300"/>
    <n v="7.6899999999999998E-3"/>
  </r>
  <r>
    <s v="mirandacosgrove"/>
    <n v="834"/>
    <x v="122"/>
    <s v="9.9M"/>
    <x v="3"/>
    <s v="172.6K"/>
    <s v="269.2K"/>
    <x v="256"/>
    <n v="172600"/>
    <n v="269200"/>
    <n v="1.7434343434343434E-2"/>
  </r>
  <r>
    <s v="nikitadragun"/>
    <n v="835"/>
    <x v="135"/>
    <s v="9M"/>
    <x v="2"/>
    <s v="193.5K"/>
    <s v="295.7K"/>
    <x v="194"/>
    <n v="193500"/>
    <n v="295700"/>
    <n v="2.1499999999999998E-2"/>
  </r>
  <r>
    <s v="alexis_officia1"/>
    <n v="836"/>
    <x v="0"/>
    <s v="14.1M"/>
    <x v="30"/>
    <s v="113K"/>
    <s v="186.3K"/>
    <x v="149"/>
    <n v="113000"/>
    <n v="186300"/>
    <n v="8.0141843971631207E-3"/>
  </r>
  <r>
    <s v="sophiedee"/>
    <n v="837"/>
    <x v="88"/>
    <s v="12.3M"/>
    <x v="2"/>
    <s v="160.8K"/>
    <s v="214.2K"/>
    <x v="184"/>
    <n v="160800"/>
    <n v="214200"/>
    <n v="1.3073170731707317E-2"/>
  </r>
  <r>
    <s v="marcoasensio10"/>
    <n v="839"/>
    <x v="0"/>
    <s v="14.5M"/>
    <x v="12"/>
    <s v="116.5K"/>
    <s v="178.9K"/>
    <x v="353"/>
    <n v="116500"/>
    <n v="178900"/>
    <n v="8.0344827586206896E-3"/>
  </r>
  <r>
    <s v="elliotpage"/>
    <n v="840"/>
    <x v="61"/>
    <s v="6.1M"/>
    <x v="2"/>
    <s v="299.7K"/>
    <s v="431.5K"/>
    <x v="342"/>
    <n v="299700"/>
    <n v="431500"/>
    <n v="4.9131147540983605E-2"/>
  </r>
  <r>
    <s v="theellenshow"/>
    <n v="841"/>
    <x v="50"/>
    <s v="123.7M"/>
    <x v="2"/>
    <s v="20.6K"/>
    <s v="21.1K"/>
    <x v="388"/>
    <n v="20600"/>
    <n v="21100"/>
    <n v="1.6653193209377527E-4"/>
  </r>
  <r>
    <s v="dudewithsign"/>
    <n v="842"/>
    <x v="61"/>
    <s v="8.1M"/>
    <x v="2"/>
    <s v="204.9K"/>
    <s v="323.2K"/>
    <x v="283"/>
    <n v="204900"/>
    <n v="323200"/>
    <n v="2.5296296296296296E-2"/>
  </r>
  <r>
    <s v="jamorant"/>
    <n v="843"/>
    <x v="47"/>
    <s v="7.4M"/>
    <x v="2"/>
    <s v="218.9K"/>
    <s v="353.7K"/>
    <x v="314"/>
    <n v="218900"/>
    <n v="353700"/>
    <n v="2.9581081081081081E-2"/>
  </r>
  <r>
    <s v="josephquinn"/>
    <n v="844"/>
    <x v="61"/>
    <s v="2.5M"/>
    <x v="17"/>
    <n v="0"/>
    <s v="1.1M"/>
    <x v="182"/>
    <m/>
    <m/>
    <m/>
  </r>
  <r>
    <s v="saythename_17"/>
    <n v="845"/>
    <x v="3"/>
    <s v="9.6M"/>
    <x v="4"/>
    <s v="240.1K"/>
    <s v="269.6K"/>
    <x v="93"/>
    <n v="240100"/>
    <n v="269600"/>
    <n v="2.5010416666666667E-2"/>
  </r>
  <r>
    <s v="ludmilla"/>
    <n v="846"/>
    <x v="3"/>
    <s v="27.4M"/>
    <x v="3"/>
    <s v="64.7K"/>
    <s v="95.8K"/>
    <x v="133"/>
    <n v="64700"/>
    <n v="95800"/>
    <n v="2.3613138686131387E-3"/>
  </r>
  <r>
    <s v="nidhhiagerwal"/>
    <n v="847"/>
    <x v="136"/>
    <s v="24.3M"/>
    <x v="0"/>
    <s v="87.3K"/>
    <s v="105.7K"/>
    <x v="167"/>
    <n v="87300"/>
    <n v="105700"/>
    <n v="3.5925925925925925E-3"/>
  </r>
  <r>
    <s v="anirudhofficial"/>
    <n v="848"/>
    <x v="28"/>
    <s v="6M"/>
    <x v="0"/>
    <s v="342.5K"/>
    <s v="433.6K"/>
    <x v="303"/>
    <n v="342500"/>
    <n v="433600"/>
    <n v="5.7083333333333333E-2"/>
  </r>
  <r>
    <s v="kto_takaya"/>
    <n v="849"/>
    <x v="74"/>
    <s v="7M"/>
    <x v="7"/>
    <s v="303.5K"/>
    <s v="374.4K"/>
    <x v="344"/>
    <n v="303500"/>
    <n v="374400"/>
    <n v="4.3357142857142858E-2"/>
  </r>
  <r>
    <s v="you_r_love"/>
    <n v="850"/>
    <x v="8"/>
    <s v="5.5M"/>
    <x v="4"/>
    <s v="364.2K"/>
    <s v="465.3K"/>
    <x v="389"/>
    <n v="364200"/>
    <n v="465300"/>
    <n v="6.6218181818181815E-2"/>
  </r>
  <r>
    <s v="kikakim"/>
    <n v="858"/>
    <x v="9"/>
    <s v="6.9M"/>
    <x v="31"/>
    <s v="279.9K"/>
    <s v="370.6K"/>
    <x v="180"/>
    <n v="279900"/>
    <n v="370600"/>
    <n v="4.0565217391304351E-2"/>
  </r>
  <r>
    <s v="chelseafc"/>
    <n v="859"/>
    <x v="0"/>
    <s v="34.8M"/>
    <x v="4"/>
    <s v="48.9K"/>
    <s v="72.7K"/>
    <x v="294"/>
    <n v="48900"/>
    <n v="72700"/>
    <n v="1.4051724137931034E-3"/>
  </r>
  <r>
    <s v="luara"/>
    <n v="860"/>
    <x v="3"/>
    <s v="15.9M"/>
    <x v="3"/>
    <s v="95.9K"/>
    <s v="158.3K"/>
    <x v="155"/>
    <n v="95900"/>
    <n v="158300"/>
    <n v="6.0314465408805029E-3"/>
  </r>
  <r>
    <s v="filiperet"/>
    <n v="861"/>
    <x v="9"/>
    <s v="6.8M"/>
    <x v="3"/>
    <s v="147.9K"/>
    <s v="379.4K"/>
    <x v="383"/>
    <n v="147900"/>
    <n v="379400"/>
    <n v="2.1749999999999999E-2"/>
  </r>
  <r>
    <s v="subo_m"/>
    <n v="862"/>
    <x v="62"/>
    <s v="9.8M"/>
    <x v="7"/>
    <s v="213.8K"/>
    <s v="262.4K"/>
    <x v="153"/>
    <n v="213800"/>
    <n v="262400"/>
    <n v="2.1816326530612246E-2"/>
  </r>
  <r>
    <s v="rogerfederer"/>
    <n v="863"/>
    <x v="0"/>
    <s v="9.6M"/>
    <x v="12"/>
    <s v="205.3K"/>
    <s v="265.4K"/>
    <x v="93"/>
    <n v="205300"/>
    <n v="265400"/>
    <n v="2.1385416666666667E-2"/>
  </r>
  <r>
    <s v="belindapop"/>
    <n v="864"/>
    <x v="3"/>
    <s v="15.5M"/>
    <x v="6"/>
    <s v="113.6K"/>
    <s v="162.8K"/>
    <x v="195"/>
    <n v="113600"/>
    <n v="162800"/>
    <n v="7.329032258064516E-3"/>
  </r>
  <r>
    <s v="miketyson"/>
    <n v="865"/>
    <x v="84"/>
    <s v="19M"/>
    <x v="2"/>
    <s v="102K"/>
    <s v="131.2K"/>
    <x v="116"/>
    <n v="102000"/>
    <n v="131200"/>
    <n v="5.3684210526315787E-3"/>
  </r>
  <r>
    <s v="sonu_sood"/>
    <n v="866"/>
    <x v="8"/>
    <s v="14.4M"/>
    <x v="0"/>
    <s v="151.5K"/>
    <s v="172.8K"/>
    <x v="84"/>
    <n v="151500"/>
    <n v="172800"/>
    <n v="1.0520833333333333E-2"/>
  </r>
  <r>
    <s v="sinavaliollah"/>
    <n v="867"/>
    <x v="62"/>
    <s v="7.3M"/>
    <x v="14"/>
    <s v="277.1K"/>
    <s v="350.1K"/>
    <x v="246"/>
    <n v="277100"/>
    <n v="350100"/>
    <n v="3.7958904109589041E-2"/>
  </r>
  <r>
    <s v="priyankaamohanofficial"/>
    <n v="869"/>
    <x v="46"/>
    <s v="3.2M"/>
    <x v="0"/>
    <s v="677K"/>
    <s v="777K"/>
    <x v="390"/>
    <n v="677000"/>
    <n v="777000"/>
    <n v="0.21156249999999999"/>
  </r>
  <r>
    <s v="massafera"/>
    <n v="870"/>
    <x v="27"/>
    <s v="25.3M"/>
    <x v="3"/>
    <s v="67.2K"/>
    <s v="97.8K"/>
    <x v="391"/>
    <n v="67200"/>
    <n v="97800"/>
    <n v="2.6561264822134389E-3"/>
  </r>
  <r>
    <s v="bleacherreport"/>
    <n v="871"/>
    <x v="0"/>
    <s v="19.3M"/>
    <x v="2"/>
    <s v="64.8K"/>
    <s v="128.4K"/>
    <x v="392"/>
    <n v="64800"/>
    <n v="128400"/>
    <n v="3.3575129533678755E-3"/>
  </r>
  <r>
    <s v="lizzobeeating"/>
    <n v="872"/>
    <x v="7"/>
    <s v="12.7M"/>
    <x v="2"/>
    <s v="137.9K"/>
    <s v="193.2K"/>
    <x v="393"/>
    <n v="137900"/>
    <n v="193200"/>
    <n v="1.0858267716535433E-2"/>
  </r>
  <r>
    <s v="raashiikhanna"/>
    <n v="873"/>
    <x v="22"/>
    <s v="8.5M"/>
    <x v="0"/>
    <s v="246.4K"/>
    <s v="293.8K"/>
    <x v="160"/>
    <n v="246400"/>
    <n v="293800"/>
    <n v="2.8988235294117648E-2"/>
  </r>
  <r>
    <s v="toniruediger"/>
    <n v="874"/>
    <x v="0"/>
    <s v="4M"/>
    <x v="20"/>
    <s v="414.4K"/>
    <s v="622.5K"/>
    <x v="394"/>
    <n v="414400"/>
    <n v="622500"/>
    <n v="0.1036"/>
  </r>
  <r>
    <s v="fernandasouzaoficial"/>
    <n v="875"/>
    <x v="16"/>
    <s v="22M"/>
    <x v="3"/>
    <s v="81.1K"/>
    <s v="111.6K"/>
    <x v="395"/>
    <n v="81100"/>
    <n v="111600"/>
    <n v="3.6863636363636365E-3"/>
  </r>
  <r>
    <s v="fedeevalverde"/>
    <n v="876"/>
    <x v="0"/>
    <s v="6.3M"/>
    <x v="12"/>
    <s v="278.8K"/>
    <s v="395K"/>
    <x v="292"/>
    <n v="278800"/>
    <n v="395000"/>
    <n v="4.4253968253968254E-2"/>
  </r>
  <r>
    <s v="mohanshakti"/>
    <n v="878"/>
    <x v="137"/>
    <s v="16.2M"/>
    <x v="0"/>
    <s v="124.3K"/>
    <s v="150K"/>
    <x v="296"/>
    <n v="124300"/>
    <n v="150000"/>
    <n v="7.6728395061728396E-3"/>
  </r>
  <r>
    <s v="gabigol"/>
    <n v="879"/>
    <x v="0"/>
    <s v="9.9M"/>
    <x v="3"/>
    <s v="167K"/>
    <s v="252.5K"/>
    <x v="256"/>
    <n v="167000"/>
    <n v="252500"/>
    <n v="1.686868686868687E-2"/>
  </r>
  <r>
    <s v="rebelwilson"/>
    <n v="880"/>
    <x v="8"/>
    <s v="11.3M"/>
    <x v="2"/>
    <s v="185.8K"/>
    <s v="214.4K"/>
    <x v="345"/>
    <n v="185800"/>
    <n v="214400"/>
    <n v="1.6442477876106195E-2"/>
  </r>
  <r>
    <s v="aidanrgallagher"/>
    <n v="881"/>
    <x v="3"/>
    <s v="7.5M"/>
    <x v="6"/>
    <s v="272.4K"/>
    <s v="328K"/>
    <x v="381"/>
    <n v="272400"/>
    <n v="328000"/>
    <n v="3.6319999999999998E-2"/>
  </r>
  <r>
    <s v="friends"/>
    <n v="882"/>
    <x v="62"/>
    <s v="11.9M"/>
    <x v="3"/>
    <s v="161.5K"/>
    <s v="202.8K"/>
    <x v="373"/>
    <n v="161500"/>
    <n v="202800"/>
    <n v="1.3571428571428571E-2"/>
  </r>
  <r>
    <s v="iamyanetgarcia"/>
    <n v="883"/>
    <x v="133"/>
    <s v="14.8M"/>
    <x v="6"/>
    <s v="128.2K"/>
    <s v="163K"/>
    <x v="252"/>
    <n v="128199.99999999999"/>
    <n v="163000"/>
    <n v="8.6621621621621615E-3"/>
  </r>
  <r>
    <s v="vanessalopesr_"/>
    <n v="884"/>
    <x v="3"/>
    <s v="11.7M"/>
    <x v="3"/>
    <s v="63.1K"/>
    <s v="205.3K"/>
    <x v="326"/>
    <n v="63100"/>
    <n v="205300"/>
    <n v="5.3931623931623932E-3"/>
  </r>
  <r>
    <s v="funnymike"/>
    <n v="885"/>
    <x v="20"/>
    <s v="8M"/>
    <x v="2"/>
    <s v="174.7K"/>
    <s v="309.2K"/>
    <x v="232"/>
    <n v="174700"/>
    <n v="309200"/>
    <n v="2.1837499999999999E-2"/>
  </r>
  <r>
    <s v="ahmedabohashima"/>
    <n v="886"/>
    <x v="138"/>
    <s v="15.7M"/>
    <x v="10"/>
    <s v="112.8K"/>
    <s v="152.6K"/>
    <x v="396"/>
    <n v="112800"/>
    <n v="152600"/>
    <n v="7.1847133757961786E-3"/>
  </r>
  <r>
    <s v="min.nicha"/>
    <n v="887"/>
    <x v="9"/>
    <s v="3.7M"/>
    <x v="19"/>
    <s v="473.2K"/>
    <s v="646.4K"/>
    <x v="332"/>
    <n v="473200"/>
    <n v="646400"/>
    <n v="0.1278918918918919"/>
  </r>
  <r>
    <s v="39saku_chan"/>
    <n v="888"/>
    <x v="8"/>
    <s v="3.6M"/>
    <x v="4"/>
    <s v="542.9K"/>
    <s v="669.3K"/>
    <x v="397"/>
    <n v="542900"/>
    <n v="669300"/>
    <n v="0.15080555555555555"/>
  </r>
  <r>
    <s v="bclsinclair"/>
    <n v="889"/>
    <x v="3"/>
    <s v="21M"/>
    <x v="4"/>
    <s v="71.9K"/>
    <s v="113.6K"/>
    <x v="398"/>
    <n v="71900"/>
    <n v="113600"/>
    <n v="3.4238095238095238E-3"/>
  </r>
  <r>
    <s v="humansofny"/>
    <n v="890"/>
    <x v="114"/>
    <s v="12.1M"/>
    <x v="2"/>
    <s v="167.2K"/>
    <s v="197.8K"/>
    <x v="112"/>
    <n v="167200"/>
    <n v="197800"/>
    <n v="1.3818181818181818E-2"/>
  </r>
  <r>
    <s v="dk_is_dokyeom"/>
    <n v="891"/>
    <x v="61"/>
    <s v="3M"/>
    <x v="14"/>
    <s v="674.8K"/>
    <s v="813.2K"/>
    <x v="367"/>
    <n v="674800"/>
    <n v="813200"/>
    <n v="0.22493333333333335"/>
  </r>
  <r>
    <s v="mariapedraza_"/>
    <n v="892"/>
    <x v="8"/>
    <s v="12M"/>
    <x v="12"/>
    <s v="150.1K"/>
    <s v="198K"/>
    <x v="245"/>
    <n v="150100"/>
    <n v="198000"/>
    <n v="1.2508333333333333E-2"/>
  </r>
  <r>
    <s v="ms.sethii"/>
    <n v="893"/>
    <x v="61"/>
    <s v="6.5M"/>
    <x v="2"/>
    <s v="248.9K"/>
    <s v="376.6K"/>
    <x v="244"/>
    <n v="248900"/>
    <n v="376600"/>
    <n v="3.8292307692307695E-2"/>
  </r>
  <r>
    <s v="nazormaya"/>
    <n v="894"/>
    <x v="114"/>
    <s v="3.5M"/>
    <x v="6"/>
    <s v="459.2K"/>
    <s v="679.7K"/>
    <x v="385"/>
    <n v="459200"/>
    <n v="679700"/>
    <n v="0.13120000000000001"/>
  </r>
  <r>
    <s v="arashi_5_official"/>
    <n v="896"/>
    <x v="3"/>
    <s v="4.4M"/>
    <x v="27"/>
    <s v="536.8K"/>
    <s v="559.8K"/>
    <x v="360"/>
    <n v="536800"/>
    <n v="559800"/>
    <n v="0.122"/>
  </r>
  <r>
    <s v="francinyehlke"/>
    <n v="897"/>
    <x v="19"/>
    <s v="15.4M"/>
    <x v="3"/>
    <s v="70.7K"/>
    <s v="154.4K"/>
    <x v="365"/>
    <n v="70700"/>
    <n v="154400"/>
    <n v="4.5909090909090908E-3"/>
  </r>
  <r>
    <s v="lucianohuck"/>
    <n v="898"/>
    <x v="62"/>
    <s v="20.4M"/>
    <x v="3"/>
    <s v="93.1K"/>
    <s v="117.4K"/>
    <x v="107"/>
    <n v="93100"/>
    <n v="117400"/>
    <n v="4.5637254901960784E-3"/>
  </r>
  <r>
    <s v="xbox"/>
    <n v="899"/>
    <x v="59"/>
    <s v="12.8M"/>
    <x v="2"/>
    <s v="151.7K"/>
    <s v="185.4K"/>
    <x v="248"/>
    <n v="151700"/>
    <n v="185400"/>
    <n v="1.1851562499999999E-2"/>
  </r>
  <r>
    <s v="jadenhossler"/>
    <n v="900"/>
    <x v="3"/>
    <s v="4.6M"/>
    <x v="2"/>
    <s v="336.5K"/>
    <s v="518.9K"/>
    <x v="382"/>
    <n v="336500"/>
    <n v="518900"/>
    <n v="7.3152173913043475E-2"/>
  </r>
  <r>
    <s v="leighannepinnock"/>
    <n v="901"/>
    <x v="3"/>
    <s v="9M"/>
    <x v="3"/>
    <s v="184.4K"/>
    <s v="262.5K"/>
    <x v="194"/>
    <n v="184400"/>
    <n v="262500"/>
    <n v="2.048888888888889E-2"/>
  </r>
  <r>
    <s v="alexisren"/>
    <n v="902"/>
    <x v="9"/>
    <s v="16.6M"/>
    <x v="2"/>
    <s v="89.6K"/>
    <s v="139.8K"/>
    <x v="178"/>
    <n v="89600"/>
    <n v="139800"/>
    <n v="5.3975903614457829E-3"/>
  </r>
  <r>
    <s v="i_nivethathomas"/>
    <n v="903"/>
    <x v="8"/>
    <s v="6.1M"/>
    <x v="0"/>
    <s v="338K"/>
    <s v="382.5K"/>
    <x v="342"/>
    <n v="338000"/>
    <n v="382500"/>
    <n v="5.5409836065573773E-2"/>
  </r>
  <r>
    <s v="tontawan"/>
    <n v="905"/>
    <x v="9"/>
    <s v="3.7M"/>
    <x v="19"/>
    <s v="481.5K"/>
    <s v="633.3K"/>
    <x v="332"/>
    <n v="481500"/>
    <n v="633300"/>
    <n v="0.13013513513513514"/>
  </r>
  <r>
    <s v="serenayss"/>
    <n v="906"/>
    <x v="133"/>
    <s v="9.4M"/>
    <x v="11"/>
    <s v="194.8K"/>
    <s v="249.6K"/>
    <x v="209"/>
    <n v="194800"/>
    <n v="249600"/>
    <n v="2.0723404255319149E-2"/>
  </r>
  <r>
    <s v="alexadellanos"/>
    <n v="907"/>
    <x v="9"/>
    <s v="9.4M"/>
    <x v="2"/>
    <s v="158.2K"/>
    <s v="247.4K"/>
    <x v="209"/>
    <n v="158200"/>
    <n v="247400"/>
    <n v="1.6829787234042552E-2"/>
  </r>
  <r>
    <s v="gildovigor"/>
    <n v="908"/>
    <x v="139"/>
    <s v="15.1M"/>
    <x v="3"/>
    <s v="113.6K"/>
    <s v="160.7K"/>
    <x v="199"/>
    <n v="113600"/>
    <n v="160700"/>
    <n v="7.5231788079470202E-3"/>
  </r>
  <r>
    <s v="dance_malyshka_offi"/>
    <n v="909"/>
    <x v="20"/>
    <s v="3.5M"/>
    <x v="7"/>
    <s v="528.5K"/>
    <s v="676.7K"/>
    <x v="385"/>
    <n v="528500"/>
    <n v="676700"/>
    <n v="0.151"/>
  </r>
  <r>
    <s v="oprah"/>
    <n v="910"/>
    <x v="140"/>
    <s v="21.3M"/>
    <x v="2"/>
    <s v="91.3K"/>
    <s v="108.3K"/>
    <x v="122"/>
    <n v="91300"/>
    <n v="108300"/>
    <n v="4.2863849765258219E-3"/>
  </r>
  <r>
    <s v="jadethirlwall"/>
    <n v="911"/>
    <x v="77"/>
    <s v="9.3M"/>
    <x v="2"/>
    <s v="190.3K"/>
    <s v="249.1K"/>
    <x v="221"/>
    <n v="190300"/>
    <n v="249100"/>
    <n v="2.0462365591397851E-2"/>
  </r>
  <r>
    <s v="mterstegen1"/>
    <n v="912"/>
    <x v="0"/>
    <s v="13.5M"/>
    <x v="12"/>
    <s v="111.7K"/>
    <s v="168.1K"/>
    <x v="174"/>
    <n v="111700"/>
    <n v="168100"/>
    <n v="8.2740740740740743E-3"/>
  </r>
  <r>
    <s v="madonna"/>
    <n v="913"/>
    <x v="3"/>
    <s v="18.4M"/>
    <x v="9"/>
    <s v="83.7K"/>
    <s v="125.6K"/>
    <x v="250"/>
    <n v="83700"/>
    <n v="125600"/>
    <n v="4.5489130434782608E-3"/>
  </r>
  <r>
    <s v="karrrambaby"/>
    <n v="914"/>
    <x v="9"/>
    <s v="4M"/>
    <x v="7"/>
    <s v="520.5K"/>
    <s v="577.4K"/>
    <x v="394"/>
    <n v="520500"/>
    <n v="577400"/>
    <n v="0.13012499999999999"/>
  </r>
  <r>
    <s v="sincerooficial"/>
    <n v="915"/>
    <x v="65"/>
    <s v="21.5M"/>
    <x v="3"/>
    <s v="54.6K"/>
    <s v="105.3K"/>
    <x v="368"/>
    <n v="54600"/>
    <n v="105300"/>
    <n v="2.5395348837209302E-3"/>
  </r>
  <r>
    <s v="coldplay"/>
    <n v="916"/>
    <x v="3"/>
    <s v="16.6M"/>
    <x v="3"/>
    <s v="98.2K"/>
    <s v="136.7K"/>
    <x v="178"/>
    <n v="98200"/>
    <n v="136700"/>
    <n v="5.9156626506024091E-3"/>
  </r>
  <r>
    <s v="tommyinnit"/>
    <n v="917"/>
    <x v="9"/>
    <s v="3.5M"/>
    <x v="8"/>
    <s v="586.8K"/>
    <s v="662.4K"/>
    <x v="385"/>
    <n v="586800"/>
    <n v="662400"/>
    <n v="0.16765714285714287"/>
  </r>
  <r>
    <s v="vicdeangelis"/>
    <n v="918"/>
    <x v="9"/>
    <s v="3.7M"/>
    <x v="9"/>
    <s v="417.9K"/>
    <s v="619.6K"/>
    <x v="332"/>
    <n v="417900"/>
    <n v="619600"/>
    <n v="0.11294594594594595"/>
  </r>
  <r>
    <s v="kaylanicolejones"/>
    <n v="919"/>
    <x v="62"/>
    <s v="7.5M"/>
    <x v="2"/>
    <s v="144.5K"/>
    <s v="305.9K"/>
    <x v="381"/>
    <n v="144500"/>
    <n v="305900"/>
    <n v="1.9266666666666668E-2"/>
  </r>
  <r>
    <s v="mahnaz_afshar"/>
    <n v="920"/>
    <x v="27"/>
    <s v="16.3M"/>
    <x v="14"/>
    <s v="101.3K"/>
    <s v="139K"/>
    <x v="399"/>
    <n v="101300"/>
    <n v="139000"/>
    <n v="6.2147239263803684E-3"/>
  </r>
  <r>
    <s v="eda.ece"/>
    <n v="921"/>
    <x v="46"/>
    <s v="6.5M"/>
    <x v="11"/>
    <s v="283.8K"/>
    <s v="349.3K"/>
    <x v="244"/>
    <n v="283800"/>
    <n v="349300"/>
    <n v="4.366153846153846E-2"/>
  </r>
  <r>
    <s v="ateez_official_"/>
    <n v="922"/>
    <x v="61"/>
    <s v="6.8M"/>
    <x v="2"/>
    <s v="293.8K"/>
    <s v="337.8K"/>
    <x v="383"/>
    <n v="293800"/>
    <n v="337800"/>
    <n v="4.3205882352941177E-2"/>
  </r>
  <r>
    <s v="wizkhalifa"/>
    <n v="923"/>
    <x v="77"/>
    <s v="38.4M"/>
    <x v="0"/>
    <s v="41.3K"/>
    <s v="58.5K"/>
    <x v="400"/>
    <n v="41300"/>
    <n v="58500"/>
    <n v="1.0755208333333333E-3"/>
  </r>
  <r>
    <s v="dean.schneider"/>
    <n v="924"/>
    <x v="141"/>
    <s v="10.1M"/>
    <x v="0"/>
    <s v="173.1K"/>
    <s v="222K"/>
    <x v="265"/>
    <n v="173100"/>
    <n v="222000"/>
    <n v="1.713861386138614E-2"/>
  </r>
  <r>
    <s v="hazalkaya"/>
    <n v="925"/>
    <x v="27"/>
    <s v="7.2M"/>
    <x v="11"/>
    <s v="266.8K"/>
    <s v="316.1K"/>
    <x v="401"/>
    <n v="266800"/>
    <n v="316100"/>
    <n v="3.7055555555555557E-2"/>
  </r>
  <r>
    <s v="sooyoungchoi"/>
    <n v="926"/>
    <x v="142"/>
    <s v="7.1M"/>
    <x v="4"/>
    <s v="264.1K"/>
    <s v="318.8K"/>
    <x v="312"/>
    <n v="264100"/>
    <n v="318800"/>
    <n v="3.7197183098591546E-2"/>
  </r>
  <r>
    <s v="therealjosephmorgan"/>
    <n v="927"/>
    <x v="27"/>
    <s v="8M"/>
    <x v="3"/>
    <s v="226.8K"/>
    <s v="284.3K"/>
    <x v="232"/>
    <n v="226800"/>
    <n v="284300"/>
    <n v="2.835E-2"/>
  </r>
  <r>
    <s v="isaias"/>
    <n v="928"/>
    <x v="62"/>
    <s v="9.2M"/>
    <x v="3"/>
    <s v="75.3K"/>
    <s v="248K"/>
    <x v="337"/>
    <n v="75300"/>
    <n v="248000"/>
    <n v="8.1847826086956527E-3"/>
  </r>
  <r>
    <s v="rossbutler"/>
    <n v="929"/>
    <x v="8"/>
    <s v="10.4M"/>
    <x v="2"/>
    <s v="152.6K"/>
    <s v="213.4K"/>
    <x v="347"/>
    <n v="152600"/>
    <n v="213400"/>
    <n v="1.4673076923076922E-2"/>
  </r>
  <r>
    <s v="jackblack"/>
    <n v="930"/>
    <x v="8"/>
    <s v="8.8M"/>
    <x v="2"/>
    <s v="196.6K"/>
    <s v="256.7K"/>
    <x v="331"/>
    <n v="196600"/>
    <n v="256700"/>
    <n v="2.2340909090909092E-2"/>
  </r>
  <r>
    <s v="tammyhembrow"/>
    <n v="931"/>
    <x v="84"/>
    <s v="15.3M"/>
    <x v="2"/>
    <s v="76.8K"/>
    <s v="145K"/>
    <x v="219"/>
    <n v="76800"/>
    <n v="145000"/>
    <n v="5.019607843137255E-3"/>
  </r>
  <r>
    <s v="themermaidscales"/>
    <n v="932"/>
    <x v="102"/>
    <s v="6.6M"/>
    <x v="0"/>
    <s v="274K"/>
    <s v="338K"/>
    <x v="402"/>
    <n v="274000"/>
    <n v="338000"/>
    <n v="4.1515151515151512E-2"/>
  </r>
  <r>
    <s v="dababy"/>
    <n v="933"/>
    <x v="3"/>
    <s v="21.2M"/>
    <x v="2"/>
    <s v="65.3K"/>
    <s v="105.9K"/>
    <x v="154"/>
    <n v="65300"/>
    <n v="105900"/>
    <n v="3.080188679245283E-3"/>
  </r>
  <r>
    <s v="theshilpashetty"/>
    <n v="934"/>
    <x v="8"/>
    <s v="26M"/>
    <x v="0"/>
    <s v="74.1K"/>
    <s v="85.3K"/>
    <x v="403"/>
    <n v="74100"/>
    <n v="85300"/>
    <n v="2.8500000000000001E-3"/>
  </r>
  <r>
    <s v="adamsandler"/>
    <n v="935"/>
    <x v="8"/>
    <s v="13.4M"/>
    <x v="2"/>
    <s v="130.5K"/>
    <s v="166.6K"/>
    <x v="269"/>
    <n v="130500"/>
    <n v="166600"/>
    <n v="9.738805970149254E-3"/>
  </r>
  <r>
    <s v="elcinsangu"/>
    <n v="936"/>
    <x v="27"/>
    <s v="8.5M"/>
    <x v="11"/>
    <s v="220K"/>
    <s v="264.7K"/>
    <x v="160"/>
    <n v="220000"/>
    <n v="264700"/>
    <n v="2.5882352941176471E-2"/>
  </r>
  <r>
    <s v="kashikakapoor09"/>
    <n v="937"/>
    <x v="8"/>
    <s v="8.1M"/>
    <x v="0"/>
    <s v="258.5K"/>
    <s v="278.4K"/>
    <x v="283"/>
    <n v="258500"/>
    <n v="278400"/>
    <n v="3.1913580246913577E-2"/>
  </r>
  <r>
    <s v="jessica.syj"/>
    <n v="938"/>
    <x v="143"/>
    <s v="10.7M"/>
    <x v="4"/>
    <s v="168.8K"/>
    <s v="206.1K"/>
    <x v="168"/>
    <n v="168800"/>
    <n v="206100"/>
    <n v="1.5775700934579438E-2"/>
  </r>
  <r>
    <s v="esbilgic"/>
    <n v="939"/>
    <x v="30"/>
    <s v="7M"/>
    <x v="0"/>
    <s v="252.4K"/>
    <s v="321.2K"/>
    <x v="344"/>
    <n v="252400"/>
    <n v="321200"/>
    <n v="3.6057142857142857E-2"/>
  </r>
  <r>
    <s v="imcryansp"/>
    <n v="940"/>
    <x v="61"/>
    <s v="4M"/>
    <x v="3"/>
    <s v="236.1K"/>
    <s v="561.7K"/>
    <x v="394"/>
    <n v="236100"/>
    <n v="561700"/>
    <n v="5.9025000000000001E-2"/>
  </r>
  <r>
    <s v="canyaman"/>
    <n v="942"/>
    <x v="34"/>
    <s v="9.8M"/>
    <x v="9"/>
    <s v="185.8K"/>
    <s v="230.9K"/>
    <x v="153"/>
    <n v="185800"/>
    <n v="230900"/>
    <n v="1.8959183673469389E-2"/>
  </r>
  <r>
    <s v="eilirjani"/>
    <n v="943"/>
    <x v="9"/>
    <s v="10.3M"/>
    <x v="32"/>
    <s v="147.5K"/>
    <s v="212.9K"/>
    <x v="169"/>
    <n v="147500"/>
    <n v="212900"/>
    <n v="1.4320388349514563E-2"/>
  </r>
  <r>
    <s v="jeremyrenner"/>
    <n v="944"/>
    <x v="50"/>
    <s v="17.8M"/>
    <x v="2"/>
    <s v="102.8K"/>
    <s v="123.4K"/>
    <x v="404"/>
    <n v="102800"/>
    <n v="123400"/>
    <n v="5.7752808988764046E-3"/>
  </r>
  <r>
    <s v="felicyangelista_"/>
    <n v="945"/>
    <x v="74"/>
    <s v="21.5M"/>
    <x v="4"/>
    <s v="73.6K"/>
    <s v="101.4K"/>
    <x v="368"/>
    <n v="73600"/>
    <n v="101400"/>
    <n v="3.4232558139534884E-3"/>
  </r>
  <r>
    <s v="grefg_official"/>
    <n v="946"/>
    <x v="59"/>
    <s v="7.4M"/>
    <x v="12"/>
    <s v="247.3K"/>
    <s v="297.8K"/>
    <x v="314"/>
    <n v="247300"/>
    <n v="297800"/>
    <n v="3.3418918918918919E-2"/>
  </r>
  <r>
    <s v="cole.labrant"/>
    <n v="947"/>
    <x v="144"/>
    <s v="5.1M"/>
    <x v="2"/>
    <s v="310.9K"/>
    <s v="438.1K"/>
    <x v="288"/>
    <n v="310900"/>
    <n v="438100"/>
    <n v="6.0960784313725487E-2"/>
  </r>
  <r>
    <s v="e_milygarcia"/>
    <n v="948"/>
    <x v="8"/>
    <s v="11.2M"/>
    <x v="3"/>
    <s v="119.2K"/>
    <s v="197.2K"/>
    <x v="405"/>
    <n v="119200"/>
    <n v="197200"/>
    <n v="1.0642857142857143E-2"/>
  </r>
  <r>
    <s v="jharden13"/>
    <n v="949"/>
    <x v="0"/>
    <s v="11.6M"/>
    <x v="2"/>
    <s v="109.8K"/>
    <s v="188.4K"/>
    <x v="257"/>
    <n v="109800"/>
    <n v="188400"/>
    <n v="9.4655172413793103E-3"/>
  </r>
  <r>
    <s v="samsmith"/>
    <n v="950"/>
    <x v="10"/>
    <s v="14.6M"/>
    <x v="2"/>
    <s v="102K"/>
    <s v="149.3K"/>
    <x v="176"/>
    <n v="102000"/>
    <n v="149300"/>
    <n v="6.9863013698630138E-3"/>
  </r>
  <r>
    <s v="ncentineo"/>
    <n v="952"/>
    <x v="8"/>
    <s v="16.8M"/>
    <x v="3"/>
    <s v="77.8K"/>
    <s v="129.2K"/>
    <x v="124"/>
    <n v="77800"/>
    <n v="129199.99999999999"/>
    <n v="4.6309523809523806E-3"/>
  </r>
  <r>
    <s v="valeyellow46"/>
    <n v="953"/>
    <x v="48"/>
    <s v="13.9M"/>
    <x v="4"/>
    <s v="119.3K"/>
    <s v="155.9K"/>
    <x v="286"/>
    <n v="119300"/>
    <n v="155900"/>
    <n v="8.5827338129496403E-3"/>
  </r>
  <r>
    <s v="pharrell"/>
    <n v="954"/>
    <x v="3"/>
    <s v="13.9M"/>
    <x v="2"/>
    <s v="109.3K"/>
    <s v="155.9K"/>
    <x v="286"/>
    <n v="109300"/>
    <n v="155900"/>
    <n v="7.8633093525179859E-3"/>
  </r>
  <r>
    <s v="joshrichards"/>
    <n v="955"/>
    <x v="145"/>
    <s v="6.9M"/>
    <x v="2"/>
    <s v="225.8K"/>
    <s v="316.7K"/>
    <x v="180"/>
    <n v="225800"/>
    <n v="316700"/>
    <n v="3.2724637681159421E-2"/>
  </r>
  <r>
    <s v="rubyrose"/>
    <n v="956"/>
    <x v="29"/>
    <s v="19.7M"/>
    <x v="2"/>
    <s v="82.5K"/>
    <s v="109.7K"/>
    <x v="406"/>
    <n v="82500"/>
    <n v="109700"/>
    <n v="4.187817258883249E-3"/>
  </r>
  <r>
    <s v="sabinahidalgo"/>
    <n v="957"/>
    <x v="146"/>
    <s v="4.7M"/>
    <x v="3"/>
    <s v="399.6K"/>
    <s v="479.5K"/>
    <x v="407"/>
    <n v="399600"/>
    <n v="479500"/>
    <n v="8.5021276595744683E-2"/>
  </r>
  <r>
    <s v="hitocaesar"/>
    <n v="958"/>
    <x v="9"/>
    <s v="13.6M"/>
    <x v="4"/>
    <s v="112.9K"/>
    <s v="159K"/>
    <x v="142"/>
    <n v="112900"/>
    <n v="159000"/>
    <n v="8.3014705882352938E-3"/>
  </r>
  <r>
    <s v="romeestrijd"/>
    <n v="959"/>
    <x v="29"/>
    <s v="7.7M"/>
    <x v="2"/>
    <s v="190.2K"/>
    <s v="283.9K"/>
    <x v="375"/>
    <n v="190200"/>
    <n v="283900"/>
    <n v="2.47012987012987E-2"/>
  </r>
  <r>
    <s v="wikkiofficial"/>
    <n v="960"/>
    <x v="147"/>
    <s v="2.6M"/>
    <x v="0"/>
    <s v="675.1K"/>
    <s v="840.6K"/>
    <x v="408"/>
    <n v="675100"/>
    <n v="840600"/>
    <n v="0.25965384615384618"/>
  </r>
  <r>
    <s v="apple"/>
    <n v="961"/>
    <x v="148"/>
    <s v="27.8M"/>
    <x v="0"/>
    <s v="57.9K"/>
    <s v="77.3K"/>
    <x v="104"/>
    <n v="57900"/>
    <n v="77300"/>
    <n v="2.0827338129496401E-3"/>
  </r>
  <r>
    <s v="divyankatripathidahiya"/>
    <n v="962"/>
    <x v="50"/>
    <s v="20.4M"/>
    <x v="0"/>
    <s v="92K"/>
    <s v="105.9K"/>
    <x v="107"/>
    <n v="92000"/>
    <n v="105900"/>
    <n v="4.5098039215686276E-3"/>
  </r>
  <r>
    <s v="hadise"/>
    <n v="963"/>
    <x v="96"/>
    <s v="13.8M"/>
    <x v="11"/>
    <s v="133.2K"/>
    <s v="155.5K"/>
    <x v="208"/>
    <n v="133200"/>
    <n v="155500"/>
    <n v="9.6521739130434776E-3"/>
  </r>
  <r>
    <s v="realhinakhan"/>
    <n v="964"/>
    <x v="8"/>
    <s v="17.2M"/>
    <x v="0"/>
    <s v="102.1K"/>
    <s v="125.3K"/>
    <x v="261"/>
    <n v="102100"/>
    <n v="125300"/>
    <n v="5.9360465116279071E-3"/>
  </r>
  <r>
    <s v="krithi.shetty_official"/>
    <n v="965"/>
    <x v="149"/>
    <s v="3.5M"/>
    <x v="0"/>
    <s v="527.9K"/>
    <s v="624.4K"/>
    <x v="385"/>
    <n v="527900"/>
    <n v="624400"/>
    <n v="0.15082857142857142"/>
  </r>
  <r>
    <s v="dorra_zarrouk"/>
    <n v="966"/>
    <x v="4"/>
    <s v="15.8M"/>
    <x v="10"/>
    <s v="100.5K"/>
    <s v="134.5K"/>
    <x v="409"/>
    <n v="100500"/>
    <n v="134500"/>
    <n v="6.360759493670886E-3"/>
  </r>
  <r>
    <s v="roberto_firmino"/>
    <n v="967"/>
    <x v="0"/>
    <s v="13.6M"/>
    <x v="3"/>
    <s v="104.7K"/>
    <s v="156.1K"/>
    <x v="142"/>
    <n v="104700"/>
    <n v="156100"/>
    <n v="7.6985294117647056E-3"/>
  </r>
  <r>
    <s v="alvaromorte"/>
    <n v="968"/>
    <x v="8"/>
    <s v="12.2M"/>
    <x v="0"/>
    <s v="126.8K"/>
    <s v="173.7K"/>
    <x v="274"/>
    <n v="126800"/>
    <n v="173700"/>
    <n v="1.039344262295082E-2"/>
  </r>
  <r>
    <s v="wilbursoot"/>
    <n v="969"/>
    <x v="3"/>
    <s v="3.1M"/>
    <x v="2"/>
    <s v="539.9K"/>
    <s v="692.2K"/>
    <x v="410"/>
    <n v="539900"/>
    <n v="692200"/>
    <n v="0.17416129032258065"/>
  </r>
  <r>
    <s v="warriors"/>
    <n v="970"/>
    <x v="47"/>
    <s v="24.8M"/>
    <x v="2"/>
    <s v="60.9K"/>
    <s v="85.5K"/>
    <x v="411"/>
    <n v="60900"/>
    <n v="85500"/>
    <n v="2.4556451612903225E-3"/>
  </r>
  <r>
    <s v="jacksepticeye"/>
    <n v="971"/>
    <x v="59"/>
    <s v="7.9M"/>
    <x v="2"/>
    <s v="233.5K"/>
    <s v="271K"/>
    <x v="289"/>
    <n v="233500"/>
    <n v="271000"/>
    <n v="2.9556962025316456E-2"/>
  </r>
  <r>
    <s v="hank_says_hank"/>
    <n v="972"/>
    <x v="61"/>
    <s v="3.2M"/>
    <x v="5"/>
    <s v="566.7K"/>
    <s v="665.1K"/>
    <x v="390"/>
    <n v="566700"/>
    <n v="665100"/>
    <n v="0.17709374999999999"/>
  </r>
  <r>
    <s v="bypamella"/>
    <n v="973"/>
    <x v="62"/>
    <s v="9.8M"/>
    <x v="3"/>
    <s v="127.8K"/>
    <s v="218.9K"/>
    <x v="153"/>
    <n v="127800"/>
    <n v="218900"/>
    <n v="1.3040816326530612E-2"/>
  </r>
  <r>
    <s v="pandorakaaki"/>
    <n v="975"/>
    <x v="88"/>
    <s v="7.3M"/>
    <x v="2"/>
    <s v="214.2K"/>
    <s v="295.2K"/>
    <x v="246"/>
    <n v="214200"/>
    <n v="295200"/>
    <n v="2.9342465753424658E-2"/>
  </r>
  <r>
    <s v="jenniferwinget1"/>
    <n v="976"/>
    <x v="8"/>
    <s v="13.1M"/>
    <x v="0"/>
    <s v="131.1K"/>
    <s v="160.2K"/>
    <x v="231"/>
    <n v="131100"/>
    <n v="160200"/>
    <n v="1.0007633587786259E-2"/>
  </r>
  <r>
    <s v="nadine.nassib.njeim"/>
    <n v="977"/>
    <x v="34"/>
    <s v="15M"/>
    <x v="21"/>
    <s v="98.8K"/>
    <s v="140.4K"/>
    <x v="218"/>
    <n v="98800"/>
    <n v="140400"/>
    <n v="6.5866666666666669E-3"/>
  </r>
  <r>
    <s v="shahinsamadpoor"/>
    <n v="978"/>
    <x v="150"/>
    <s v="4.5M"/>
    <x v="14"/>
    <s v="365.3K"/>
    <s v="481.4K"/>
    <x v="364"/>
    <n v="365300"/>
    <n v="481400"/>
    <n v="8.1177777777777779E-2"/>
  </r>
  <r>
    <s v="julienco_"/>
    <n v="979"/>
    <x v="95"/>
    <s v="6.3M"/>
    <x v="22"/>
    <s v="273.4K"/>
    <s v="337.5K"/>
    <x v="292"/>
    <n v="273400"/>
    <n v="337500"/>
    <n v="4.3396825396825399E-2"/>
  </r>
  <r>
    <s v="allusnehareddy"/>
    <n v="980"/>
    <x v="151"/>
    <s v="8.2M"/>
    <x v="0"/>
    <s v="220.7K"/>
    <s v="256.1K"/>
    <x v="235"/>
    <n v="220700"/>
    <n v="256100.00000000003"/>
    <n v="2.6914634146341467E-2"/>
  </r>
  <r>
    <s v="voguemagazine"/>
    <n v="981"/>
    <x v="152"/>
    <s v="39.6M"/>
    <x v="2"/>
    <s v="34.2K"/>
    <s v="52.5K"/>
    <x v="384"/>
    <n v="34200"/>
    <n v="52500"/>
    <n v="8.6363636363636362E-4"/>
  </r>
  <r>
    <s v="ho5hi_kwon"/>
    <n v="982"/>
    <x v="3"/>
    <s v="3M"/>
    <x v="4"/>
    <s v="547K"/>
    <s v="712.1K"/>
    <x v="367"/>
    <n v="547000"/>
    <n v="712100"/>
    <n v="0.18233333333333332"/>
  </r>
  <r>
    <s v="melissabenoist"/>
    <n v="983"/>
    <x v="115"/>
    <s v="4.8M"/>
    <x v="2"/>
    <s v="324.7K"/>
    <s v="439.5K"/>
    <x v="369"/>
    <n v="324700"/>
    <n v="439500"/>
    <n v="6.7645833333333336E-2"/>
  </r>
  <r>
    <s v="barstoolsports"/>
    <n v="984"/>
    <x v="9"/>
    <s v="13.9M"/>
    <x v="2"/>
    <s v="98.2K"/>
    <s v="148.2K"/>
    <x v="286"/>
    <n v="98200"/>
    <n v="148200"/>
    <n v="7.0647482014388491E-3"/>
  </r>
  <r>
    <s v="piyanka_mongia"/>
    <n v="985"/>
    <x v="153"/>
    <s v="8.8M"/>
    <x v="0"/>
    <s v="191.5K"/>
    <s v="240.4K"/>
    <x v="331"/>
    <n v="191500"/>
    <n v="240400"/>
    <n v="2.1761363636363638E-2"/>
  </r>
  <r>
    <s v="5sos"/>
    <n v="986"/>
    <x v="3"/>
    <s v="10.1M"/>
    <x v="2"/>
    <s v="147.4K"/>
    <s v="203.6K"/>
    <x v="265"/>
    <n v="147400"/>
    <n v="203600"/>
    <n v="1.4594059405940595E-2"/>
  </r>
  <r>
    <s v="jxxvvxxk"/>
    <n v="987"/>
    <x v="8"/>
    <s v="3.4M"/>
    <x v="4"/>
    <s v="489.8K"/>
    <s v="614.3K"/>
    <x v="412"/>
    <n v="489800"/>
    <n v="614300"/>
    <n v="0.14405882352941177"/>
  </r>
  <r>
    <s v="lynaritaa"/>
    <n v="988"/>
    <x v="9"/>
    <s v="9M"/>
    <x v="2"/>
    <s v="176.7K"/>
    <s v="234.1K"/>
    <x v="194"/>
    <n v="176700"/>
    <n v="234100"/>
    <n v="1.9633333333333332E-2"/>
  </r>
  <r>
    <s v="tomo.y9"/>
    <n v="989"/>
    <x v="77"/>
    <s v="5M"/>
    <x v="27"/>
    <s v="393.6K"/>
    <s v="422K"/>
    <x v="356"/>
    <n v="393600"/>
    <n v="422000"/>
    <n v="7.8719999999999998E-2"/>
  </r>
  <r>
    <s v="wayvofficial"/>
    <n v="990"/>
    <x v="3"/>
    <s v="7.3M"/>
    <x v="4"/>
    <s v="238.2K"/>
    <s v="283.7K"/>
    <x v="246"/>
    <n v="238200"/>
    <n v="283700"/>
    <n v="3.2630136986301371E-2"/>
  </r>
  <r>
    <s v="supremo_dp"/>
    <n v="991"/>
    <x v="3"/>
    <s v="5M"/>
    <x v="16"/>
    <s v="337.9K"/>
    <s v="416.3K"/>
    <x v="356"/>
    <n v="337900"/>
    <n v="416300"/>
    <n v="6.7580000000000001E-2"/>
  </r>
  <r>
    <s v="jaredleto"/>
    <n v="992"/>
    <x v="16"/>
    <s v="10.9M"/>
    <x v="2"/>
    <s v="149.9K"/>
    <s v="188.5K"/>
    <x v="190"/>
    <n v="149900"/>
    <n v="188500"/>
    <n v="1.3752293577981651E-2"/>
  </r>
  <r>
    <s v="thariqhalilintar"/>
    <n v="993"/>
    <x v="62"/>
    <s v="7.4M"/>
    <x v="4"/>
    <s v="225.6K"/>
    <s v="279.5K"/>
    <x v="314"/>
    <n v="225600"/>
    <n v="279500"/>
    <n v="3.0486486486486487E-2"/>
  </r>
  <r>
    <s v="ferozekhan"/>
    <n v="994"/>
    <x v="30"/>
    <s v="6.6M"/>
    <x v="33"/>
    <s v="267.4K"/>
    <s v="315.8K"/>
    <x v="402"/>
    <n v="267400"/>
    <n v="315800"/>
    <n v="4.0515151515151518E-2"/>
  </r>
  <r>
    <s v="garciajoshuae"/>
    <n v="995"/>
    <x v="29"/>
    <s v="5M"/>
    <x v="16"/>
    <s v="357.5K"/>
    <s v="412.1K"/>
    <x v="356"/>
    <n v="357500"/>
    <n v="412100"/>
    <n v="7.1499999999999994E-2"/>
  </r>
  <r>
    <s v="nimratkhairaofficial"/>
    <n v="996"/>
    <x v="3"/>
    <s v="8M"/>
    <x v="0"/>
    <s v="211.1K"/>
    <s v="261.8K"/>
    <x v="232"/>
    <n v="211100"/>
    <n v="261800"/>
    <n v="2.6387500000000001E-2"/>
  </r>
  <r>
    <s v="hanhyojoo222"/>
    <n v="997"/>
    <x v="154"/>
    <s v="4M"/>
    <x v="4"/>
    <s v="434.2K"/>
    <s v="518.2K"/>
    <x v="394"/>
    <n v="434200"/>
    <n v="518200.00000000006"/>
    <n v="0.10854999999999999"/>
  </r>
  <r>
    <s v="memphisdepay"/>
    <n v="998"/>
    <x v="0"/>
    <s v="15M"/>
    <x v="8"/>
    <s v="76.4K"/>
    <s v="135.5K"/>
    <x v="218"/>
    <n v="76400"/>
    <n v="135500"/>
    <n v="5.0933333333333334E-3"/>
  </r>
  <r>
    <s v="arminzareeiofficial"/>
    <n v="999"/>
    <x v="61"/>
    <s v="9.8M"/>
    <x v="14"/>
    <s v="135.4K"/>
    <s v="214K"/>
    <x v="153"/>
    <n v="135400"/>
    <n v="214000"/>
    <n v="1.3816326530612245E-2"/>
  </r>
  <r>
    <s v="noorstars"/>
    <n v="1000"/>
    <x v="62"/>
    <s v="13M"/>
    <x v="21"/>
    <s v="117.6K"/>
    <s v="157.6K"/>
    <x v="165"/>
    <n v="117600"/>
    <n v="157600"/>
    <n v="9.0461538461538461E-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0">
  <r>
    <x v="0"/>
    <n v="1"/>
    <x v="0"/>
    <x v="0"/>
    <x v="0"/>
    <s v="5.5M"/>
    <x v="0"/>
    <n v="462900000"/>
    <n v="5500000"/>
    <n v="6600000"/>
    <x v="0"/>
    <x v="0"/>
  </r>
  <r>
    <x v="1"/>
    <n v="2"/>
    <x v="1"/>
    <x v="1"/>
    <x v="1"/>
    <s v="3.6M"/>
    <x v="1"/>
    <n v="347200000"/>
    <n v="3600000"/>
    <n v="4800000"/>
    <x v="1"/>
    <x v="0"/>
  </r>
  <r>
    <x v="2"/>
    <n v="3"/>
    <x v="2"/>
    <x v="2"/>
    <x v="2"/>
    <s v="3M"/>
    <x v="2"/>
    <n v="247600000"/>
    <n v="3000000"/>
    <n v="4900000"/>
    <x v="2"/>
    <x v="0"/>
  </r>
  <r>
    <x v="3"/>
    <n v="4"/>
    <x v="3"/>
    <x v="3"/>
    <x v="2"/>
    <s v="2.4M"/>
    <x v="3"/>
    <n v="321400000"/>
    <n v="2400000"/>
    <n v="3400000"/>
    <x v="3"/>
    <x v="0"/>
  </r>
  <r>
    <x v="4"/>
    <n v="5"/>
    <x v="4"/>
    <x v="4"/>
    <x v="2"/>
    <s v="4.3M"/>
    <x v="4"/>
    <n v="147000000"/>
    <n v="4300000"/>
    <n v="5800000"/>
    <x v="4"/>
    <x v="0"/>
  </r>
  <r>
    <x v="5"/>
    <n v="6"/>
    <x v="5"/>
    <x v="5"/>
    <x v="2"/>
    <s v="1.7M"/>
    <x v="5"/>
    <n v="323600000"/>
    <n v="1700000"/>
    <n v="2500000"/>
    <x v="5"/>
    <x v="0"/>
  </r>
  <r>
    <x v="6"/>
    <n v="7"/>
    <x v="3"/>
    <x v="6"/>
    <x v="3"/>
    <s v="2.4M"/>
    <x v="6"/>
    <n v="218200000"/>
    <n v="2400000"/>
    <n v="3200000"/>
    <x v="6"/>
    <x v="0"/>
  </r>
  <r>
    <x v="7"/>
    <n v="8"/>
    <x v="6"/>
    <x v="7"/>
    <x v="2"/>
    <s v="1.2M"/>
    <x v="7"/>
    <n v="357000000"/>
    <n v="1200000"/>
    <n v="1900000"/>
    <x v="7"/>
    <x v="0"/>
  </r>
  <r>
    <x v="8"/>
    <n v="9"/>
    <x v="7"/>
    <x v="8"/>
    <x v="2"/>
    <s v="1.4M"/>
    <x v="7"/>
    <n v="334900000"/>
    <n v="1400000"/>
    <n v="1900000"/>
    <x v="8"/>
    <x v="0"/>
  </r>
  <r>
    <x v="9"/>
    <n v="10"/>
    <x v="3"/>
    <x v="9"/>
    <x v="2"/>
    <s v="13.3M"/>
    <x v="8"/>
    <n v="46300000"/>
    <n v="13300000"/>
    <n v="13300000"/>
    <x v="9"/>
    <x v="1"/>
  </r>
  <r>
    <x v="10"/>
    <n v="11"/>
    <x v="3"/>
    <x v="10"/>
    <x v="4"/>
    <s v="6.3M"/>
    <x v="9"/>
    <n v="79900000"/>
    <n v="6300000"/>
    <n v="7300000"/>
    <x v="10"/>
    <x v="2"/>
  </r>
  <r>
    <x v="11"/>
    <n v="12"/>
    <x v="3"/>
    <x v="11"/>
    <x v="4"/>
    <s v="7M"/>
    <x v="10"/>
    <n v="68200000"/>
    <n v="7000000"/>
    <n v="8300000.0000000009"/>
    <x v="11"/>
    <x v="2"/>
  </r>
  <r>
    <x v="12"/>
    <n v="13"/>
    <x v="0"/>
    <x v="12"/>
    <x v="0"/>
    <s v="2.1M"/>
    <x v="11"/>
    <n v="206900000"/>
    <n v="2100000"/>
    <n v="2400000"/>
    <x v="12"/>
    <x v="0"/>
  </r>
  <r>
    <x v="13"/>
    <n v="14"/>
    <x v="8"/>
    <x v="13"/>
    <x v="2"/>
    <s v="5.7M"/>
    <x v="12"/>
    <n v="67600000"/>
    <n v="5700000"/>
    <n v="7000000"/>
    <x v="13"/>
    <x v="2"/>
  </r>
  <r>
    <x v="14"/>
    <n v="15"/>
    <x v="3"/>
    <x v="14"/>
    <x v="4"/>
    <s v="11.8M"/>
    <x v="13"/>
    <n v="38100000"/>
    <n v="11800000"/>
    <n v="11800000"/>
    <x v="14"/>
    <x v="1"/>
  </r>
  <r>
    <x v="15"/>
    <n v="16"/>
    <x v="9"/>
    <x v="15"/>
    <x v="4"/>
    <s v="10.4M"/>
    <x v="14"/>
    <n v="36500000"/>
    <n v="10400000"/>
    <n v="10400000"/>
    <x v="15"/>
    <x v="1"/>
  </r>
  <r>
    <x v="16"/>
    <n v="17"/>
    <x v="3"/>
    <x v="16"/>
    <x v="2"/>
    <s v="9.9M"/>
    <x v="15"/>
    <n v="37400000"/>
    <n v="9900000"/>
    <n v="9900000"/>
    <x v="16"/>
    <x v="1"/>
  </r>
  <r>
    <x v="17"/>
    <n v="18"/>
    <x v="10"/>
    <x v="17"/>
    <x v="2"/>
    <s v="949.9K"/>
    <x v="16"/>
    <n v="267399999.99999997"/>
    <n v="949900"/>
    <n v="1300000"/>
    <x v="17"/>
    <x v="0"/>
  </r>
  <r>
    <x v="18"/>
    <n v="19"/>
    <x v="11"/>
    <x v="18"/>
    <x v="2"/>
    <s v="1.1M"/>
    <x v="17"/>
    <n v="260399999.99999997"/>
    <n v="1100000"/>
    <n v="1400000"/>
    <x v="18"/>
    <x v="0"/>
  </r>
  <r>
    <x v="19"/>
    <n v="20"/>
    <x v="12"/>
    <x v="19"/>
    <x v="4"/>
    <s v="4.9M"/>
    <x v="18"/>
    <n v="62100000"/>
    <n v="4900000"/>
    <n v="5600000"/>
    <x v="19"/>
    <x v="2"/>
  </r>
  <r>
    <x v="20"/>
    <n v="21"/>
    <x v="3"/>
    <x v="20"/>
    <x v="2"/>
    <s v="2.4M"/>
    <x v="19"/>
    <n v="104300000"/>
    <n v="2400000"/>
    <n v="3100000"/>
    <x v="20"/>
    <x v="0"/>
  </r>
  <r>
    <x v="21"/>
    <n v="22"/>
    <x v="0"/>
    <x v="21"/>
    <x v="3"/>
    <s v="1.3M"/>
    <x v="20"/>
    <n v="176200000"/>
    <n v="1300000"/>
    <n v="1800000"/>
    <x v="21"/>
    <x v="0"/>
  </r>
  <r>
    <x v="22"/>
    <n v="23"/>
    <x v="0"/>
    <x v="22"/>
    <x v="0"/>
    <s v="2.8M"/>
    <x v="21"/>
    <n v="78600000"/>
    <n v="2800000"/>
    <n v="3900000"/>
    <x v="22"/>
    <x v="2"/>
  </r>
  <r>
    <x v="23"/>
    <n v="24"/>
    <x v="3"/>
    <x v="23"/>
    <x v="0"/>
    <s v="798.5K"/>
    <x v="22"/>
    <n v="245900000"/>
    <n v="798500"/>
    <n v="1200000"/>
    <x v="23"/>
    <x v="0"/>
  </r>
  <r>
    <x v="24"/>
    <n v="25"/>
    <x v="3"/>
    <x v="24"/>
    <x v="4"/>
    <s v="4M"/>
    <x v="23"/>
    <n v="61000000"/>
    <n v="4000000"/>
    <n v="4600000"/>
    <x v="24"/>
    <x v="2"/>
  </r>
  <r>
    <x v="25"/>
    <n v="26"/>
    <x v="13"/>
    <x v="16"/>
    <x v="5"/>
    <s v="6.9M"/>
    <x v="24"/>
    <n v="37400000"/>
    <n v="6900000"/>
    <n v="6900000"/>
    <x v="25"/>
    <x v="1"/>
  </r>
  <r>
    <x v="26"/>
    <n v="27"/>
    <x v="3"/>
    <x v="25"/>
    <x v="2"/>
    <s v="3.9M"/>
    <x v="25"/>
    <n v="41400000"/>
    <n v="3900000"/>
    <n v="6000000"/>
    <x v="26"/>
    <x v="1"/>
  </r>
  <r>
    <x v="27"/>
    <n v="28"/>
    <x v="3"/>
    <x v="26"/>
    <x v="2"/>
    <s v="744.2K"/>
    <x v="22"/>
    <n v="197800000"/>
    <n v="744200"/>
    <n v="1200000"/>
    <x v="27"/>
    <x v="0"/>
  </r>
  <r>
    <x v="28"/>
    <n v="29"/>
    <x v="14"/>
    <x v="27"/>
    <x v="0"/>
    <s v="339.6K"/>
    <x v="26"/>
    <n v="528400000"/>
    <n v="339600"/>
    <n v="434300"/>
    <x v="28"/>
    <x v="0"/>
  </r>
  <r>
    <x v="29"/>
    <n v="30"/>
    <x v="3"/>
    <x v="28"/>
    <x v="4"/>
    <s v="5.2M"/>
    <x v="27"/>
    <n v="43000000"/>
    <n v="5200000"/>
    <n v="5200000"/>
    <x v="29"/>
    <x v="1"/>
  </r>
  <r>
    <x v="30"/>
    <n v="31"/>
    <x v="3"/>
    <x v="29"/>
    <x v="4"/>
    <s v="3M"/>
    <x v="28"/>
    <n v="66000000"/>
    <n v="3000000"/>
    <n v="3300000"/>
    <x v="30"/>
    <x v="2"/>
  </r>
  <r>
    <x v="31"/>
    <n v="32"/>
    <x v="10"/>
    <x v="30"/>
    <x v="2"/>
    <s v="1.1M"/>
    <x v="29"/>
    <n v="137300000"/>
    <n v="1100000"/>
    <n v="1500000"/>
    <x v="31"/>
    <x v="0"/>
  </r>
  <r>
    <x v="32"/>
    <n v="33"/>
    <x v="9"/>
    <x v="31"/>
    <x v="2"/>
    <s v="739.8K"/>
    <x v="30"/>
    <n v="189000000"/>
    <n v="739800"/>
    <n v="1100000"/>
    <x v="32"/>
    <x v="0"/>
  </r>
  <r>
    <x v="33"/>
    <n v="34"/>
    <x v="3"/>
    <x v="32"/>
    <x v="6"/>
    <s v="3M"/>
    <x v="31"/>
    <n v="54500000"/>
    <n v="3000000"/>
    <n v="3700000"/>
    <x v="33"/>
    <x v="2"/>
  </r>
  <r>
    <x v="34"/>
    <n v="35"/>
    <x v="3"/>
    <x v="33"/>
    <x v="0"/>
    <s v="2.7M"/>
    <x v="32"/>
    <n v="46200000"/>
    <n v="2700000"/>
    <n v="4300000"/>
    <x v="34"/>
    <x v="1"/>
  </r>
  <r>
    <x v="35"/>
    <n v="36"/>
    <x v="9"/>
    <x v="34"/>
    <x v="4"/>
    <s v="5.4M"/>
    <x v="33"/>
    <n v="36000000"/>
    <n v="5400000"/>
    <n v="5400000"/>
    <x v="35"/>
    <x v="1"/>
  </r>
  <r>
    <x v="36"/>
    <n v="37"/>
    <x v="8"/>
    <x v="35"/>
    <x v="3"/>
    <s v="2.8M"/>
    <x v="34"/>
    <n v="53200000"/>
    <n v="2800000"/>
    <n v="3500000"/>
    <x v="36"/>
    <x v="2"/>
  </r>
  <r>
    <x v="37"/>
    <n v="38"/>
    <x v="15"/>
    <x v="36"/>
    <x v="2"/>
    <s v="1.6M"/>
    <x v="11"/>
    <n v="74900000"/>
    <n v="1600000"/>
    <n v="2400000"/>
    <x v="37"/>
    <x v="2"/>
  </r>
  <r>
    <x v="38"/>
    <n v="39"/>
    <x v="16"/>
    <x v="37"/>
    <x v="2"/>
    <s v="585.7K"/>
    <x v="35"/>
    <n v="217500000"/>
    <n v="585700"/>
    <n v="743200"/>
    <x v="38"/>
    <x v="0"/>
  </r>
  <r>
    <x v="39"/>
    <n v="40"/>
    <x v="0"/>
    <x v="38"/>
    <x v="2"/>
    <s v="741.7K"/>
    <x v="16"/>
    <n v="127400000"/>
    <n v="741700"/>
    <n v="1300000"/>
    <x v="39"/>
    <x v="0"/>
  </r>
  <r>
    <x v="40"/>
    <n v="41"/>
    <x v="17"/>
    <x v="39"/>
    <x v="0"/>
    <s v="373.2K"/>
    <x v="36"/>
    <n v="327300000"/>
    <n v="373200"/>
    <n v="479800"/>
    <x v="40"/>
    <x v="0"/>
  </r>
  <r>
    <x v="41"/>
    <n v="42"/>
    <x v="3"/>
    <x v="40"/>
    <x v="2"/>
    <s v="2.2M"/>
    <x v="19"/>
    <n v="50600000"/>
    <n v="2200000"/>
    <n v="3100000"/>
    <x v="41"/>
    <x v="2"/>
  </r>
  <r>
    <x v="42"/>
    <n v="43"/>
    <x v="18"/>
    <x v="41"/>
    <x v="0"/>
    <s v="2.7M"/>
    <x v="37"/>
    <n v="39000000"/>
    <n v="2700000"/>
    <n v="3800000"/>
    <x v="42"/>
    <x v="1"/>
  </r>
  <r>
    <x v="43"/>
    <n v="44"/>
    <x v="3"/>
    <x v="42"/>
    <x v="2"/>
    <s v="753.6K"/>
    <x v="22"/>
    <n v="116600000"/>
    <n v="753600"/>
    <n v="1200000"/>
    <x v="43"/>
    <x v="0"/>
  </r>
  <r>
    <x v="44"/>
    <n v="45"/>
    <x v="19"/>
    <x v="43"/>
    <x v="0"/>
    <s v="1.9M"/>
    <x v="38"/>
    <n v="65599999.999999993"/>
    <n v="1900000"/>
    <n v="2200000"/>
    <x v="44"/>
    <x v="2"/>
  </r>
  <r>
    <x v="45"/>
    <n v="46"/>
    <x v="10"/>
    <x v="9"/>
    <x v="2"/>
    <s v="2.1M"/>
    <x v="39"/>
    <n v="46300000"/>
    <n v="2100000"/>
    <n v="2900000"/>
    <x v="45"/>
    <x v="1"/>
  </r>
  <r>
    <x v="46"/>
    <n v="47"/>
    <x v="3"/>
    <x v="44"/>
    <x v="2"/>
    <s v="557.8K"/>
    <x v="40"/>
    <n v="178200000"/>
    <n v="557800"/>
    <n v="757200"/>
    <x v="46"/>
    <x v="0"/>
  </r>
  <r>
    <x v="47"/>
    <n v="48"/>
    <x v="7"/>
    <x v="45"/>
    <x v="4"/>
    <s v="3.6M"/>
    <x v="41"/>
    <n v="29200000"/>
    <n v="3600000"/>
    <n v="4500000"/>
    <x v="47"/>
    <x v="1"/>
  </r>
  <r>
    <x v="48"/>
    <n v="49"/>
    <x v="3"/>
    <x v="46"/>
    <x v="2"/>
    <s v="1.7M"/>
    <x v="5"/>
    <n v="45800000"/>
    <n v="1700000"/>
    <n v="2500000"/>
    <x v="48"/>
    <x v="1"/>
  </r>
  <r>
    <x v="49"/>
    <n v="50"/>
    <x v="8"/>
    <x v="47"/>
    <x v="7"/>
    <s v="2.6M"/>
    <x v="37"/>
    <n v="29400000"/>
    <n v="2600000"/>
    <n v="3800000"/>
    <x v="49"/>
    <x v="1"/>
  </r>
  <r>
    <x v="50"/>
    <n v="51"/>
    <x v="8"/>
    <x v="35"/>
    <x v="0"/>
    <s v="1.6M"/>
    <x v="42"/>
    <n v="53200000"/>
    <n v="1600000"/>
    <n v="2000000"/>
    <x v="50"/>
    <x v="2"/>
  </r>
  <r>
    <x v="51"/>
    <n v="52"/>
    <x v="20"/>
    <x v="48"/>
    <x v="5"/>
    <s v="3M"/>
    <x v="34"/>
    <n v="27000000"/>
    <n v="3000000"/>
    <n v="3500000"/>
    <x v="51"/>
    <x v="1"/>
  </r>
  <r>
    <x v="52"/>
    <n v="53"/>
    <x v="8"/>
    <x v="49"/>
    <x v="4"/>
    <s v="2.4M"/>
    <x v="19"/>
    <n v="30100000"/>
    <n v="2400000"/>
    <n v="3100000"/>
    <x v="52"/>
    <x v="1"/>
  </r>
  <r>
    <x v="53"/>
    <n v="54"/>
    <x v="21"/>
    <x v="11"/>
    <x v="0"/>
    <s v="1.2M"/>
    <x v="16"/>
    <n v="68200000"/>
    <n v="1200000"/>
    <n v="1300000"/>
    <x v="53"/>
    <x v="2"/>
  </r>
  <r>
    <x v="54"/>
    <n v="55"/>
    <x v="3"/>
    <x v="50"/>
    <x v="3"/>
    <s v="838K"/>
    <x v="22"/>
    <n v="69400000"/>
    <n v="838000"/>
    <n v="1200000"/>
    <x v="54"/>
    <x v="2"/>
  </r>
  <r>
    <x v="55"/>
    <n v="56"/>
    <x v="0"/>
    <x v="51"/>
    <x v="8"/>
    <s v="806.5K"/>
    <x v="30"/>
    <n v="72400000"/>
    <n v="806500"/>
    <n v="1100000"/>
    <x v="55"/>
    <x v="2"/>
  </r>
  <r>
    <x v="56"/>
    <n v="57"/>
    <x v="22"/>
    <x v="52"/>
    <x v="0"/>
    <s v="2.4M"/>
    <x v="19"/>
    <n v="26600000"/>
    <n v="2400000"/>
    <n v="3100000"/>
    <x v="56"/>
    <x v="1"/>
  </r>
  <r>
    <x v="57"/>
    <n v="58"/>
    <x v="8"/>
    <x v="53"/>
    <x v="0"/>
    <s v="979.6K"/>
    <x v="22"/>
    <n v="67200000"/>
    <n v="979600"/>
    <n v="1200000"/>
    <x v="57"/>
    <x v="2"/>
  </r>
  <r>
    <x v="58"/>
    <n v="59"/>
    <x v="16"/>
    <x v="54"/>
    <x v="0"/>
    <s v="2.3M"/>
    <x v="39"/>
    <n v="27100000"/>
    <n v="2300000"/>
    <n v="2900000"/>
    <x v="58"/>
    <x v="1"/>
  </r>
  <r>
    <x v="59"/>
    <n v="60"/>
    <x v="8"/>
    <x v="55"/>
    <x v="0"/>
    <s v="1.2M"/>
    <x v="16"/>
    <n v="59300000"/>
    <n v="1200000"/>
    <n v="1300000"/>
    <x v="59"/>
    <x v="2"/>
  </r>
  <r>
    <x v="60"/>
    <n v="61"/>
    <x v="3"/>
    <x v="56"/>
    <x v="6"/>
    <s v="729.1K"/>
    <x v="43"/>
    <n v="85100000"/>
    <n v="729100"/>
    <n v="879100"/>
    <x v="60"/>
    <x v="2"/>
  </r>
  <r>
    <x v="61"/>
    <n v="62"/>
    <x v="8"/>
    <x v="57"/>
    <x v="2"/>
    <s v="1.2M"/>
    <x v="29"/>
    <n v="48100000"/>
    <n v="1200000"/>
    <n v="1500000"/>
    <x v="61"/>
    <x v="1"/>
  </r>
  <r>
    <x v="62"/>
    <n v="63"/>
    <x v="3"/>
    <x v="58"/>
    <x v="3"/>
    <s v="845.4K"/>
    <x v="30"/>
    <n v="64400000.000000007"/>
    <n v="845400"/>
    <n v="1100000"/>
    <x v="62"/>
    <x v="2"/>
  </r>
  <r>
    <x v="63"/>
    <n v="64"/>
    <x v="8"/>
    <x v="59"/>
    <x v="3"/>
    <s v="2.3M"/>
    <x v="39"/>
    <n v="24700000"/>
    <n v="2300000"/>
    <n v="2900000"/>
    <x v="63"/>
    <x v="1"/>
  </r>
  <r>
    <x v="64"/>
    <n v="65"/>
    <x v="8"/>
    <x v="60"/>
    <x v="0"/>
    <s v="1.3M"/>
    <x v="38"/>
    <n v="32900000"/>
    <n v="1300000"/>
    <n v="2200000"/>
    <x v="64"/>
    <x v="1"/>
  </r>
  <r>
    <x v="65"/>
    <n v="66"/>
    <x v="23"/>
    <x v="61"/>
    <x v="2"/>
    <s v="1.2M"/>
    <x v="17"/>
    <n v="48900000"/>
    <n v="1200000"/>
    <n v="1400000"/>
    <x v="65"/>
    <x v="1"/>
  </r>
  <r>
    <x v="66"/>
    <n v="67"/>
    <x v="3"/>
    <x v="62"/>
    <x v="2"/>
    <s v="2M"/>
    <x v="44"/>
    <n v="24200000"/>
    <n v="2000000"/>
    <n v="2700000"/>
    <x v="66"/>
    <x v="1"/>
  </r>
  <r>
    <x v="67"/>
    <n v="68"/>
    <x v="8"/>
    <x v="63"/>
    <x v="0"/>
    <s v="869.2K"/>
    <x v="30"/>
    <n v="55100000"/>
    <n v="869200"/>
    <n v="1100000"/>
    <x v="67"/>
    <x v="2"/>
  </r>
  <r>
    <x v="68"/>
    <n v="69"/>
    <x v="11"/>
    <x v="64"/>
    <x v="6"/>
    <s v="1.4M"/>
    <x v="45"/>
    <n v="35200000"/>
    <n v="1400000"/>
    <n v="1700000"/>
    <x v="68"/>
    <x v="1"/>
  </r>
  <r>
    <x v="69"/>
    <n v="70"/>
    <x v="3"/>
    <x v="65"/>
    <x v="6"/>
    <s v="763.5K"/>
    <x v="22"/>
    <n v="49000000"/>
    <n v="763500"/>
    <n v="1200000"/>
    <x v="69"/>
    <x v="1"/>
  </r>
  <r>
    <x v="70"/>
    <n v="71"/>
    <x v="0"/>
    <x v="66"/>
    <x v="9"/>
    <s v="682.1K"/>
    <x v="30"/>
    <n v="54600000"/>
    <n v="682100"/>
    <n v="1100000"/>
    <x v="70"/>
    <x v="2"/>
  </r>
  <r>
    <x v="71"/>
    <n v="72"/>
    <x v="0"/>
    <x v="67"/>
    <x v="10"/>
    <s v="753.4K"/>
    <x v="30"/>
    <n v="51900000"/>
    <n v="753400"/>
    <n v="1100000"/>
    <x v="71"/>
    <x v="2"/>
  </r>
  <r>
    <x v="72"/>
    <n v="73"/>
    <x v="24"/>
    <x v="68"/>
    <x v="4"/>
    <s v="2.1M"/>
    <x v="5"/>
    <n v="22200000"/>
    <n v="2100000"/>
    <n v="2500000"/>
    <x v="72"/>
    <x v="1"/>
  </r>
  <r>
    <x v="73"/>
    <n v="74"/>
    <x v="8"/>
    <x v="69"/>
    <x v="4"/>
    <s v="1.8M"/>
    <x v="11"/>
    <n v="23000000"/>
    <n v="1800000"/>
    <n v="2400000"/>
    <x v="73"/>
    <x v="1"/>
  </r>
  <r>
    <x v="74"/>
    <n v="75"/>
    <x v="8"/>
    <x v="70"/>
    <x v="11"/>
    <s v="1.4M"/>
    <x v="7"/>
    <n v="28500000"/>
    <n v="1400000"/>
    <n v="1900000"/>
    <x v="74"/>
    <x v="1"/>
  </r>
  <r>
    <x v="75"/>
    <n v="76"/>
    <x v="3"/>
    <x v="71"/>
    <x v="2"/>
    <s v="1.2M"/>
    <x v="20"/>
    <n v="30200000"/>
    <n v="1200000"/>
    <n v="1800000"/>
    <x v="75"/>
    <x v="1"/>
  </r>
  <r>
    <x v="76"/>
    <n v="77"/>
    <x v="0"/>
    <x v="72"/>
    <x v="1"/>
    <s v="684.3K"/>
    <x v="30"/>
    <n v="47700000"/>
    <n v="684300"/>
    <n v="1100000"/>
    <x v="76"/>
    <x v="1"/>
  </r>
  <r>
    <x v="77"/>
    <n v="78"/>
    <x v="8"/>
    <x v="73"/>
    <x v="2"/>
    <s v="468.3K"/>
    <x v="46"/>
    <n v="83800000"/>
    <n v="468300"/>
    <n v="605900"/>
    <x v="77"/>
    <x v="2"/>
  </r>
  <r>
    <x v="78"/>
    <n v="79"/>
    <x v="3"/>
    <x v="74"/>
    <x v="4"/>
    <s v="1.7M"/>
    <x v="47"/>
    <n v="23300000"/>
    <n v="1700000"/>
    <n v="2100000"/>
    <x v="78"/>
    <x v="1"/>
  </r>
  <r>
    <x v="79"/>
    <n v="80"/>
    <x v="0"/>
    <x v="75"/>
    <x v="12"/>
    <s v="289.5K"/>
    <x v="48"/>
    <n v="121800000"/>
    <n v="289500"/>
    <n v="396500"/>
    <x v="79"/>
    <x v="0"/>
  </r>
  <r>
    <x v="80"/>
    <n v="81"/>
    <x v="25"/>
    <x v="76"/>
    <x v="3"/>
    <s v="1.5M"/>
    <x v="38"/>
    <n v="21600000"/>
    <n v="1500000"/>
    <n v="2200000"/>
    <x v="80"/>
    <x v="1"/>
  </r>
  <r>
    <x v="81"/>
    <n v="82"/>
    <x v="8"/>
    <x v="77"/>
    <x v="3"/>
    <s v="1.1M"/>
    <x v="49"/>
    <n v="29000000"/>
    <n v="1100000"/>
    <n v="1600000"/>
    <x v="81"/>
    <x v="1"/>
  </r>
  <r>
    <x v="82"/>
    <n v="83"/>
    <x v="3"/>
    <x v="78"/>
    <x v="2"/>
    <s v="267K"/>
    <x v="50"/>
    <n v="115100000"/>
    <n v="267000"/>
    <n v="414500"/>
    <x v="82"/>
    <x v="0"/>
  </r>
  <r>
    <x v="83"/>
    <n v="84"/>
    <x v="0"/>
    <x v="79"/>
    <x v="4"/>
    <s v="281.6K"/>
    <x v="51"/>
    <n v="110000000"/>
    <n v="281600"/>
    <n v="424100"/>
    <x v="83"/>
    <x v="0"/>
  </r>
  <r>
    <x v="84"/>
    <n v="85"/>
    <x v="8"/>
    <x v="80"/>
    <x v="0"/>
    <s v="1.2M"/>
    <x v="49"/>
    <n v="30000000"/>
    <n v="1200000"/>
    <n v="1600000"/>
    <x v="84"/>
    <x v="1"/>
  </r>
  <r>
    <x v="85"/>
    <n v="86"/>
    <x v="3"/>
    <x v="81"/>
    <x v="2"/>
    <s v="264.5K"/>
    <x v="52"/>
    <n v="136300000"/>
    <n v="264500"/>
    <n v="338100"/>
    <x v="85"/>
    <x v="0"/>
  </r>
  <r>
    <x v="86"/>
    <n v="87"/>
    <x v="26"/>
    <x v="82"/>
    <x v="0"/>
    <s v="1.2M"/>
    <x v="17"/>
    <n v="32299999.999999996"/>
    <n v="1200000"/>
    <n v="1400000"/>
    <x v="86"/>
    <x v="1"/>
  </r>
  <r>
    <x v="87"/>
    <n v="88"/>
    <x v="27"/>
    <x v="83"/>
    <x v="0"/>
    <s v="696K"/>
    <x v="53"/>
    <n v="52100000"/>
    <n v="696000"/>
    <n v="855200"/>
    <x v="87"/>
    <x v="2"/>
  </r>
  <r>
    <x v="88"/>
    <n v="89"/>
    <x v="28"/>
    <x v="84"/>
    <x v="6"/>
    <s v="2.2M"/>
    <x v="19"/>
    <n v="14400000"/>
    <n v="2200000"/>
    <n v="3100000"/>
    <x v="88"/>
    <x v="1"/>
  </r>
  <r>
    <x v="89"/>
    <n v="90"/>
    <x v="29"/>
    <x v="35"/>
    <x v="2"/>
    <s v="499.7K"/>
    <x v="54"/>
    <n v="53200000"/>
    <n v="499700"/>
    <n v="798400"/>
    <x v="89"/>
    <x v="2"/>
  </r>
  <r>
    <x v="90"/>
    <n v="91"/>
    <x v="3"/>
    <x v="85"/>
    <x v="13"/>
    <s v="1.2M"/>
    <x v="29"/>
    <n v="28900000"/>
    <n v="1200000"/>
    <n v="1500000"/>
    <x v="90"/>
    <x v="1"/>
  </r>
  <r>
    <x v="91"/>
    <n v="92"/>
    <x v="8"/>
    <x v="86"/>
    <x v="0"/>
    <s v="468.7K"/>
    <x v="55"/>
    <n v="67800000"/>
    <n v="468700"/>
    <n v="611000"/>
    <x v="91"/>
    <x v="2"/>
  </r>
  <r>
    <x v="92"/>
    <n v="93"/>
    <x v="3"/>
    <x v="87"/>
    <x v="6"/>
    <s v="828.3K"/>
    <x v="22"/>
    <n v="34500000"/>
    <n v="828300"/>
    <n v="1200000"/>
    <x v="92"/>
    <x v="1"/>
  </r>
  <r>
    <x v="93"/>
    <n v="94"/>
    <x v="3"/>
    <x v="72"/>
    <x v="4"/>
    <s v="700.1K"/>
    <x v="56"/>
    <n v="47700000"/>
    <n v="700100"/>
    <n v="853000"/>
    <x v="93"/>
    <x v="1"/>
  </r>
  <r>
    <x v="94"/>
    <n v="95"/>
    <x v="30"/>
    <x v="88"/>
    <x v="2"/>
    <s v="655.9K"/>
    <x v="57"/>
    <n v="45900000"/>
    <n v="655900"/>
    <n v="880400"/>
    <x v="94"/>
    <x v="1"/>
  </r>
  <r>
    <x v="95"/>
    <n v="96"/>
    <x v="0"/>
    <x v="89"/>
    <x v="8"/>
    <s v="502.4K"/>
    <x v="58"/>
    <n v="55900000"/>
    <n v="502400"/>
    <n v="724000"/>
    <x v="95"/>
    <x v="2"/>
  </r>
  <r>
    <x v="96"/>
    <n v="97"/>
    <x v="8"/>
    <x v="90"/>
    <x v="2"/>
    <s v="514.9K"/>
    <x v="59"/>
    <n v="53900000"/>
    <n v="514900"/>
    <n v="747100"/>
    <x v="96"/>
    <x v="2"/>
  </r>
  <r>
    <x v="97"/>
    <n v="98"/>
    <x v="31"/>
    <x v="91"/>
    <x v="1"/>
    <s v="1.2M"/>
    <x v="42"/>
    <n v="20000000"/>
    <n v="1200000"/>
    <n v="2000000"/>
    <x v="97"/>
    <x v="1"/>
  </r>
  <r>
    <x v="98"/>
    <n v="99"/>
    <x v="3"/>
    <x v="92"/>
    <x v="4"/>
    <s v="1.5M"/>
    <x v="20"/>
    <n v="21900000"/>
    <n v="1500000"/>
    <n v="1800000"/>
    <x v="98"/>
    <x v="1"/>
  </r>
  <r>
    <x v="99"/>
    <n v="100"/>
    <x v="32"/>
    <x v="22"/>
    <x v="0"/>
    <s v="412.2K"/>
    <x v="60"/>
    <n v="78600000"/>
    <n v="412200"/>
    <n v="496700"/>
    <x v="99"/>
    <x v="2"/>
  </r>
  <r>
    <x v="100"/>
    <n v="102"/>
    <x v="3"/>
    <x v="93"/>
    <x v="0"/>
    <s v="3.2M"/>
    <x v="61"/>
    <n v="9600000"/>
    <n v="3200000"/>
    <n v="4099999.9999999995"/>
    <x v="100"/>
    <x v="3"/>
  </r>
  <r>
    <x v="101"/>
    <n v="103"/>
    <x v="8"/>
    <x v="94"/>
    <x v="2"/>
    <s v="1.9M"/>
    <x v="62"/>
    <n v="17000000"/>
    <n v="1900000"/>
    <n v="2300000"/>
    <x v="101"/>
    <x v="1"/>
  </r>
  <r>
    <x v="102"/>
    <n v="104"/>
    <x v="33"/>
    <x v="95"/>
    <x v="4"/>
    <s v="1.2M"/>
    <x v="29"/>
    <n v="26100000"/>
    <n v="1200000"/>
    <n v="1500000"/>
    <x v="102"/>
    <x v="1"/>
  </r>
  <r>
    <x v="103"/>
    <n v="105"/>
    <x v="8"/>
    <x v="96"/>
    <x v="0"/>
    <s v="390.3K"/>
    <x v="63"/>
    <n v="80200000"/>
    <n v="390300"/>
    <n v="471900"/>
    <x v="103"/>
    <x v="2"/>
  </r>
  <r>
    <x v="104"/>
    <n v="106"/>
    <x v="34"/>
    <x v="97"/>
    <x v="3"/>
    <s v="1.1M"/>
    <x v="49"/>
    <n v="24100000"/>
    <n v="1100000"/>
    <n v="1600000"/>
    <x v="104"/>
    <x v="1"/>
  </r>
  <r>
    <x v="105"/>
    <n v="107"/>
    <x v="8"/>
    <x v="98"/>
    <x v="3"/>
    <s v="628K"/>
    <x v="64"/>
    <n v="40700000"/>
    <n v="628000"/>
    <n v="911900"/>
    <x v="105"/>
    <x v="1"/>
  </r>
  <r>
    <x v="106"/>
    <n v="108"/>
    <x v="8"/>
    <x v="99"/>
    <x v="5"/>
    <s v="2.2M"/>
    <x v="65"/>
    <n v="14300000"/>
    <n v="2200000"/>
    <n v="2600000"/>
    <x v="106"/>
    <x v="1"/>
  </r>
  <r>
    <x v="107"/>
    <n v="109"/>
    <x v="19"/>
    <x v="100"/>
    <x v="2"/>
    <s v="579.2K"/>
    <x v="66"/>
    <n v="40400000"/>
    <n v="579200"/>
    <n v="892300"/>
    <x v="107"/>
    <x v="1"/>
  </r>
  <r>
    <x v="108"/>
    <n v="110"/>
    <x v="35"/>
    <x v="101"/>
    <x v="2"/>
    <s v="123.5K"/>
    <x v="67"/>
    <n v="227600000"/>
    <n v="123500"/>
    <n v="158400"/>
    <x v="108"/>
    <x v="0"/>
  </r>
  <r>
    <x v="109"/>
    <n v="111"/>
    <x v="16"/>
    <x v="102"/>
    <x v="3"/>
    <s v="1.1M"/>
    <x v="17"/>
    <n v="24600000"/>
    <n v="1100000"/>
    <n v="1400000"/>
    <x v="109"/>
    <x v="1"/>
  </r>
  <r>
    <x v="110"/>
    <n v="112"/>
    <x v="36"/>
    <x v="62"/>
    <x v="0"/>
    <s v="1.2M"/>
    <x v="17"/>
    <n v="24200000"/>
    <n v="1200000"/>
    <n v="1400000"/>
    <x v="110"/>
    <x v="1"/>
  </r>
  <r>
    <x v="111"/>
    <n v="113"/>
    <x v="8"/>
    <x v="103"/>
    <x v="7"/>
    <s v="965.6K"/>
    <x v="17"/>
    <n v="25400000"/>
    <n v="965600"/>
    <n v="1400000"/>
    <x v="111"/>
    <x v="1"/>
  </r>
  <r>
    <x v="112"/>
    <n v="114"/>
    <x v="37"/>
    <x v="104"/>
    <x v="0"/>
    <s v="769.7K"/>
    <x v="22"/>
    <n v="27800000"/>
    <n v="769700"/>
    <n v="1200000"/>
    <x v="112"/>
    <x v="1"/>
  </r>
  <r>
    <x v="113"/>
    <n v="115"/>
    <x v="8"/>
    <x v="105"/>
    <x v="0"/>
    <s v="635.3K"/>
    <x v="68"/>
    <n v="43300000"/>
    <n v="635300"/>
    <n v="772100"/>
    <x v="113"/>
    <x v="1"/>
  </r>
  <r>
    <x v="114"/>
    <n v="116"/>
    <x v="3"/>
    <x v="106"/>
    <x v="3"/>
    <s v="156.3K"/>
    <x v="69"/>
    <n v="167200000"/>
    <n v="156300"/>
    <n v="200400"/>
    <x v="114"/>
    <x v="0"/>
  </r>
  <r>
    <x v="115"/>
    <n v="117"/>
    <x v="8"/>
    <x v="107"/>
    <x v="2"/>
    <s v="973.9K"/>
    <x v="49"/>
    <n v="20400000"/>
    <n v="973900"/>
    <n v="1600000"/>
    <x v="115"/>
    <x v="1"/>
  </r>
  <r>
    <x v="116"/>
    <n v="118"/>
    <x v="8"/>
    <x v="108"/>
    <x v="3"/>
    <s v="309.8K"/>
    <x v="70"/>
    <n v="81700000"/>
    <n v="309800"/>
    <n v="403900"/>
    <x v="116"/>
    <x v="2"/>
  </r>
  <r>
    <x v="117"/>
    <n v="119"/>
    <x v="38"/>
    <x v="109"/>
    <x v="0"/>
    <s v="683.8K"/>
    <x v="71"/>
    <n v="42000000"/>
    <n v="683800"/>
    <n v="780700"/>
    <x v="117"/>
    <x v="1"/>
  </r>
  <r>
    <x v="118"/>
    <n v="120"/>
    <x v="8"/>
    <x v="54"/>
    <x v="3"/>
    <s v="861.5K"/>
    <x v="22"/>
    <n v="27100000"/>
    <n v="861500"/>
    <n v="1200000"/>
    <x v="118"/>
    <x v="1"/>
  </r>
  <r>
    <x v="119"/>
    <n v="121"/>
    <x v="8"/>
    <x v="110"/>
    <x v="0"/>
    <s v="428.1K"/>
    <x v="72"/>
    <n v="62600000"/>
    <n v="428100"/>
    <n v="511500"/>
    <x v="119"/>
    <x v="2"/>
  </r>
  <r>
    <x v="120"/>
    <n v="122"/>
    <x v="3"/>
    <x v="111"/>
    <x v="2"/>
    <s v="604.1K"/>
    <x v="73"/>
    <n v="35400000"/>
    <n v="604100"/>
    <n v="904100"/>
    <x v="120"/>
    <x v="1"/>
  </r>
  <r>
    <x v="121"/>
    <n v="123"/>
    <x v="3"/>
    <x v="112"/>
    <x v="4"/>
    <s v="2.1M"/>
    <x v="44"/>
    <n v="12100000"/>
    <n v="2100000"/>
    <n v="2700000"/>
    <x v="121"/>
    <x v="1"/>
  </r>
  <r>
    <x v="122"/>
    <n v="124"/>
    <x v="16"/>
    <x v="113"/>
    <x v="2"/>
    <s v="426.5K"/>
    <x v="74"/>
    <n v="53100000"/>
    <n v="426500"/>
    <n v="598800"/>
    <x v="122"/>
    <x v="2"/>
  </r>
  <r>
    <x v="123"/>
    <n v="125"/>
    <x v="29"/>
    <x v="114"/>
    <x v="0"/>
    <s v="538.6K"/>
    <x v="75"/>
    <n v="49700000"/>
    <n v="538600"/>
    <n v="626900"/>
    <x v="123"/>
    <x v="1"/>
  </r>
  <r>
    <x v="124"/>
    <n v="126"/>
    <x v="9"/>
    <x v="115"/>
    <x v="5"/>
    <s v="1M"/>
    <x v="16"/>
    <n v="23400000"/>
    <n v="1000000"/>
    <n v="1300000"/>
    <x v="124"/>
    <x v="1"/>
  </r>
  <r>
    <x v="125"/>
    <n v="127"/>
    <x v="39"/>
    <x v="116"/>
    <x v="2"/>
    <s v="1.2M"/>
    <x v="49"/>
    <n v="19000000"/>
    <n v="1200000"/>
    <n v="1600000"/>
    <x v="125"/>
    <x v="1"/>
  </r>
  <r>
    <x v="126"/>
    <n v="128"/>
    <x v="3"/>
    <x v="117"/>
    <x v="12"/>
    <s v="1.1M"/>
    <x v="29"/>
    <n v="20900000"/>
    <n v="1100000"/>
    <n v="1500000"/>
    <x v="36"/>
    <x v="1"/>
  </r>
  <r>
    <x v="127"/>
    <n v="129"/>
    <x v="3"/>
    <x v="118"/>
    <x v="0"/>
    <s v="294K"/>
    <x v="76"/>
    <n v="75600000"/>
    <n v="294000"/>
    <n v="400300"/>
    <x v="126"/>
    <x v="2"/>
  </r>
  <r>
    <x v="128"/>
    <n v="130"/>
    <x v="40"/>
    <x v="92"/>
    <x v="2"/>
    <s v="1.1M"/>
    <x v="17"/>
    <n v="21900000"/>
    <n v="1100000"/>
    <n v="1400000"/>
    <x v="127"/>
    <x v="1"/>
  </r>
  <r>
    <x v="129"/>
    <n v="131"/>
    <x v="8"/>
    <x v="119"/>
    <x v="0"/>
    <s v="540.9K"/>
    <x v="77"/>
    <n v="43500000"/>
    <n v="540900"/>
    <n v="684000"/>
    <x v="128"/>
    <x v="1"/>
  </r>
  <r>
    <x v="130"/>
    <n v="132"/>
    <x v="8"/>
    <x v="120"/>
    <x v="2"/>
    <s v="1.6M"/>
    <x v="11"/>
    <n v="12600000"/>
    <n v="1600000"/>
    <n v="2400000"/>
    <x v="129"/>
    <x v="1"/>
  </r>
  <r>
    <x v="131"/>
    <n v="133"/>
    <x v="0"/>
    <x v="48"/>
    <x v="12"/>
    <s v="680.8K"/>
    <x v="30"/>
    <n v="27000000"/>
    <n v="680800"/>
    <n v="1100000"/>
    <x v="130"/>
    <x v="1"/>
  </r>
  <r>
    <x v="132"/>
    <n v="134"/>
    <x v="8"/>
    <x v="121"/>
    <x v="0"/>
    <s v="349K"/>
    <x v="78"/>
    <n v="73400000"/>
    <n v="349000"/>
    <n v="403700"/>
    <x v="131"/>
    <x v="2"/>
  </r>
  <r>
    <x v="133"/>
    <n v="135"/>
    <x v="0"/>
    <x v="122"/>
    <x v="3"/>
    <s v="806.7K"/>
    <x v="17"/>
    <n v="21300000"/>
    <n v="806700"/>
    <n v="1400000"/>
    <x v="132"/>
    <x v="1"/>
  </r>
  <r>
    <x v="134"/>
    <n v="136"/>
    <x v="29"/>
    <x v="123"/>
    <x v="2"/>
    <s v="606.1K"/>
    <x v="79"/>
    <n v="29500000"/>
    <n v="606100"/>
    <n v="967700"/>
    <x v="133"/>
    <x v="1"/>
  </r>
  <r>
    <x v="135"/>
    <n v="137"/>
    <x v="30"/>
    <x v="124"/>
    <x v="2"/>
    <s v="1M"/>
    <x v="45"/>
    <n v="16800000"/>
    <n v="1000000"/>
    <n v="1700000"/>
    <x v="134"/>
    <x v="1"/>
  </r>
  <r>
    <x v="136"/>
    <n v="138"/>
    <x v="3"/>
    <x v="125"/>
    <x v="2"/>
    <s v="494.6K"/>
    <x v="80"/>
    <n v="41600000"/>
    <n v="494600"/>
    <n v="685600"/>
    <x v="135"/>
    <x v="1"/>
  </r>
  <r>
    <x v="137"/>
    <n v="139"/>
    <x v="3"/>
    <x v="126"/>
    <x v="9"/>
    <s v="294.2K"/>
    <x v="81"/>
    <n v="62700000"/>
    <n v="294200"/>
    <n v="452100"/>
    <x v="136"/>
    <x v="2"/>
  </r>
  <r>
    <x v="138"/>
    <n v="140"/>
    <x v="41"/>
    <x v="127"/>
    <x v="0"/>
    <s v="417.3K"/>
    <x v="82"/>
    <n v="53000000"/>
    <n v="417300"/>
    <n v="534900"/>
    <x v="137"/>
    <x v="2"/>
  </r>
  <r>
    <x v="139"/>
    <n v="141"/>
    <x v="42"/>
    <x v="82"/>
    <x v="6"/>
    <s v="643.5K"/>
    <x v="83"/>
    <n v="32299999.999999996"/>
    <n v="643500"/>
    <n v="852100"/>
    <x v="138"/>
    <x v="1"/>
  </r>
  <r>
    <x v="140"/>
    <n v="142"/>
    <x v="43"/>
    <x v="128"/>
    <x v="2"/>
    <s v="91.4K"/>
    <x v="84"/>
    <n v="232200000"/>
    <n v="91400"/>
    <n v="117800"/>
    <x v="139"/>
    <x v="0"/>
  </r>
  <r>
    <x v="141"/>
    <n v="143"/>
    <x v="3"/>
    <x v="129"/>
    <x v="2"/>
    <s v="571.3K"/>
    <x v="85"/>
    <n v="31800000"/>
    <n v="571300"/>
    <n v="852400"/>
    <x v="140"/>
    <x v="1"/>
  </r>
  <r>
    <x v="142"/>
    <n v="144"/>
    <x v="8"/>
    <x v="130"/>
    <x v="0"/>
    <s v="347.8K"/>
    <x v="86"/>
    <n v="62200000"/>
    <n v="347800"/>
    <n v="424300"/>
    <x v="141"/>
    <x v="2"/>
  </r>
  <r>
    <x v="143"/>
    <n v="145"/>
    <x v="0"/>
    <x v="131"/>
    <x v="12"/>
    <s v="342.3K"/>
    <x v="87"/>
    <n v="47800000"/>
    <n v="342300"/>
    <n v="538600"/>
    <x v="142"/>
    <x v="1"/>
  </r>
  <r>
    <x v="144"/>
    <n v="146"/>
    <x v="44"/>
    <x v="132"/>
    <x v="0"/>
    <s v="507K"/>
    <x v="88"/>
    <n v="41200000"/>
    <n v="507000"/>
    <n v="625700"/>
    <x v="143"/>
    <x v="1"/>
  </r>
  <r>
    <x v="145"/>
    <n v="147"/>
    <x v="3"/>
    <x v="133"/>
    <x v="3"/>
    <s v="756.6K"/>
    <x v="89"/>
    <n v="27400000"/>
    <n v="756600"/>
    <n v="928800"/>
    <x v="144"/>
    <x v="1"/>
  </r>
  <r>
    <x v="146"/>
    <n v="148"/>
    <x v="0"/>
    <x v="134"/>
    <x v="12"/>
    <s v="300.9K"/>
    <x v="90"/>
    <n v="57200000"/>
    <n v="300900"/>
    <n v="446200"/>
    <x v="145"/>
    <x v="2"/>
  </r>
  <r>
    <x v="147"/>
    <n v="149"/>
    <x v="45"/>
    <x v="135"/>
    <x v="0"/>
    <s v="753.1K"/>
    <x v="30"/>
    <n v="23600000"/>
    <n v="753100"/>
    <n v="1100000"/>
    <x v="146"/>
    <x v="1"/>
  </r>
  <r>
    <x v="148"/>
    <n v="150"/>
    <x v="8"/>
    <x v="136"/>
    <x v="14"/>
    <s v="549.9K"/>
    <x v="91"/>
    <n v="30700000"/>
    <n v="549900"/>
    <n v="811900"/>
    <x v="147"/>
    <x v="1"/>
  </r>
  <r>
    <x v="149"/>
    <n v="151"/>
    <x v="8"/>
    <x v="137"/>
    <x v="0"/>
    <s v="1.3M"/>
    <x v="49"/>
    <n v="16000000"/>
    <n v="1300000"/>
    <n v="1600000"/>
    <x v="148"/>
    <x v="1"/>
  </r>
  <r>
    <x v="150"/>
    <n v="152"/>
    <x v="3"/>
    <x v="138"/>
    <x v="2"/>
    <s v="486.6K"/>
    <x v="92"/>
    <n v="29100000"/>
    <n v="486600"/>
    <n v="850200"/>
    <x v="149"/>
    <x v="1"/>
  </r>
  <r>
    <x v="151"/>
    <n v="153"/>
    <x v="3"/>
    <x v="139"/>
    <x v="2"/>
    <s v="446.6K"/>
    <x v="93"/>
    <n v="40300000"/>
    <n v="446600"/>
    <n v="607000"/>
    <x v="150"/>
    <x v="1"/>
  </r>
  <r>
    <x v="152"/>
    <n v="154"/>
    <x v="8"/>
    <x v="140"/>
    <x v="0"/>
    <s v="608.7K"/>
    <x v="94"/>
    <n v="35300000"/>
    <n v="608700"/>
    <n v="688500"/>
    <x v="151"/>
    <x v="1"/>
  </r>
  <r>
    <x v="153"/>
    <n v="155"/>
    <x v="40"/>
    <x v="94"/>
    <x v="6"/>
    <s v="1.3M"/>
    <x v="17"/>
    <n v="17000000"/>
    <n v="1300000"/>
    <n v="1400000"/>
    <x v="152"/>
    <x v="1"/>
  </r>
  <r>
    <x v="154"/>
    <n v="156"/>
    <x v="8"/>
    <x v="141"/>
    <x v="2"/>
    <s v="737.6K"/>
    <x v="95"/>
    <n v="24400000"/>
    <n v="737600"/>
    <n v="972300"/>
    <x v="153"/>
    <x v="1"/>
  </r>
  <r>
    <x v="155"/>
    <n v="157"/>
    <x v="46"/>
    <x v="142"/>
    <x v="2"/>
    <s v="923.9K"/>
    <x v="45"/>
    <n v="13600000"/>
    <n v="923900"/>
    <n v="1700000"/>
    <x v="154"/>
    <x v="1"/>
  </r>
  <r>
    <x v="156"/>
    <n v="158"/>
    <x v="47"/>
    <x v="143"/>
    <x v="3"/>
    <s v="909.8K"/>
    <x v="17"/>
    <n v="17100000"/>
    <n v="909800"/>
    <n v="1400000"/>
    <x v="155"/>
    <x v="1"/>
  </r>
  <r>
    <x v="157"/>
    <n v="159"/>
    <x v="48"/>
    <x v="77"/>
    <x v="3"/>
    <s v="553.7K"/>
    <x v="96"/>
    <n v="29000000"/>
    <n v="553700"/>
    <n v="793700"/>
    <x v="156"/>
    <x v="1"/>
  </r>
  <r>
    <x v="158"/>
    <n v="160"/>
    <x v="8"/>
    <x v="144"/>
    <x v="0"/>
    <s v="961.1K"/>
    <x v="30"/>
    <n v="20700000"/>
    <n v="961100"/>
    <n v="1100000"/>
    <x v="157"/>
    <x v="1"/>
  </r>
  <r>
    <x v="159"/>
    <n v="161"/>
    <x v="0"/>
    <x v="145"/>
    <x v="3"/>
    <s v="347.4K"/>
    <x v="97"/>
    <n v="44100000"/>
    <n v="347400"/>
    <n v="520799.99999999994"/>
    <x v="158"/>
    <x v="1"/>
  </r>
  <r>
    <x v="160"/>
    <n v="162"/>
    <x v="0"/>
    <x v="146"/>
    <x v="3"/>
    <s v="175.8K"/>
    <x v="98"/>
    <n v="95700000"/>
    <n v="175800"/>
    <n v="237700"/>
    <x v="159"/>
    <x v="2"/>
  </r>
  <r>
    <x v="161"/>
    <n v="163"/>
    <x v="0"/>
    <x v="147"/>
    <x v="12"/>
    <s v="266.7K"/>
    <x v="99"/>
    <n v="50800000"/>
    <n v="266700"/>
    <n v="441300"/>
    <x v="160"/>
    <x v="2"/>
  </r>
  <r>
    <x v="162"/>
    <n v="164"/>
    <x v="22"/>
    <x v="148"/>
    <x v="14"/>
    <s v="481.3K"/>
    <x v="100"/>
    <n v="36200000"/>
    <n v="481300"/>
    <n v="621400"/>
    <x v="161"/>
    <x v="1"/>
  </r>
  <r>
    <x v="163"/>
    <n v="165"/>
    <x v="49"/>
    <x v="141"/>
    <x v="0"/>
    <s v="810.3K"/>
    <x v="101"/>
    <n v="24400000"/>
    <n v="810300"/>
    <n v="914300"/>
    <x v="162"/>
    <x v="1"/>
  </r>
  <r>
    <x v="164"/>
    <n v="166"/>
    <x v="3"/>
    <x v="149"/>
    <x v="4"/>
    <s v="1.3M"/>
    <x v="49"/>
    <n v="14100000"/>
    <n v="1300000"/>
    <n v="1600000"/>
    <x v="163"/>
    <x v="1"/>
  </r>
  <r>
    <x v="165"/>
    <n v="167"/>
    <x v="3"/>
    <x v="150"/>
    <x v="0"/>
    <s v="1.7M"/>
    <x v="47"/>
    <n v="10800000"/>
    <n v="1700000"/>
    <n v="2100000"/>
    <x v="164"/>
    <x v="1"/>
  </r>
  <r>
    <x v="166"/>
    <n v="168"/>
    <x v="8"/>
    <x v="151"/>
    <x v="4"/>
    <s v="836.5K"/>
    <x v="30"/>
    <n v="20600000"/>
    <n v="836500"/>
    <n v="1100000"/>
    <x v="165"/>
    <x v="1"/>
  </r>
  <r>
    <x v="167"/>
    <n v="169"/>
    <x v="0"/>
    <x v="152"/>
    <x v="15"/>
    <s v="286.1K"/>
    <x v="102"/>
    <n v="49800000"/>
    <n v="286100"/>
    <n v="436900"/>
    <x v="166"/>
    <x v="1"/>
  </r>
  <r>
    <x v="168"/>
    <n v="170"/>
    <x v="3"/>
    <x v="153"/>
    <x v="4"/>
    <s v="1.8M"/>
    <x v="62"/>
    <n v="9800000"/>
    <n v="1800000"/>
    <n v="2300000"/>
    <x v="167"/>
    <x v="3"/>
  </r>
  <r>
    <x v="169"/>
    <n v="171"/>
    <x v="50"/>
    <x v="154"/>
    <x v="15"/>
    <s v="753.5K"/>
    <x v="103"/>
    <n v="21200000"/>
    <n v="753500"/>
    <n v="1000000"/>
    <x v="168"/>
    <x v="1"/>
  </r>
  <r>
    <x v="170"/>
    <n v="172"/>
    <x v="23"/>
    <x v="155"/>
    <x v="2"/>
    <s v="873.5K"/>
    <x v="16"/>
    <n v="15900000"/>
    <n v="873500"/>
    <n v="1300000"/>
    <x v="169"/>
    <x v="1"/>
  </r>
  <r>
    <x v="171"/>
    <n v="173"/>
    <x v="51"/>
    <x v="144"/>
    <x v="1"/>
    <s v="744.1K"/>
    <x v="103"/>
    <n v="20700000"/>
    <n v="744100"/>
    <n v="1000000"/>
    <x v="170"/>
    <x v="1"/>
  </r>
  <r>
    <x v="172"/>
    <n v="174"/>
    <x v="8"/>
    <x v="122"/>
    <x v="3"/>
    <s v="826.5K"/>
    <x v="103"/>
    <n v="21300000"/>
    <n v="826500"/>
    <n v="1000000"/>
    <x v="171"/>
    <x v="1"/>
  </r>
  <r>
    <x v="173"/>
    <n v="175"/>
    <x v="9"/>
    <x v="156"/>
    <x v="3"/>
    <s v="457.4K"/>
    <x v="104"/>
    <n v="25800000"/>
    <n v="457400"/>
    <n v="837000"/>
    <x v="172"/>
    <x v="1"/>
  </r>
  <r>
    <x v="174"/>
    <n v="176"/>
    <x v="9"/>
    <x v="157"/>
    <x v="6"/>
    <s v="915.5K"/>
    <x v="30"/>
    <n v="18900000"/>
    <n v="915500"/>
    <n v="1100000"/>
    <x v="173"/>
    <x v="1"/>
  </r>
  <r>
    <x v="175"/>
    <n v="177"/>
    <x v="8"/>
    <x v="98"/>
    <x v="0"/>
    <s v="424.3K"/>
    <x v="105"/>
    <n v="40700000"/>
    <n v="424300"/>
    <n v="518299.99999999994"/>
    <x v="174"/>
    <x v="1"/>
  </r>
  <r>
    <x v="176"/>
    <n v="178"/>
    <x v="0"/>
    <x v="158"/>
    <x v="11"/>
    <s v="617.1K"/>
    <x v="106"/>
    <n v="24500000"/>
    <n v="617100"/>
    <n v="866600"/>
    <x v="175"/>
    <x v="1"/>
  </r>
  <r>
    <x v="177"/>
    <n v="179"/>
    <x v="52"/>
    <x v="159"/>
    <x v="11"/>
    <s v="418.5K"/>
    <x v="107"/>
    <n v="37000000"/>
    <n v="418500"/>
    <n v="566200"/>
    <x v="176"/>
    <x v="1"/>
  </r>
  <r>
    <x v="178"/>
    <n v="180"/>
    <x v="9"/>
    <x v="160"/>
    <x v="4"/>
    <s v="2.1M"/>
    <x v="5"/>
    <n v="8500000"/>
    <n v="2100000"/>
    <n v="2500000"/>
    <x v="177"/>
    <x v="3"/>
  </r>
  <r>
    <x v="179"/>
    <n v="181"/>
    <x v="8"/>
    <x v="161"/>
    <x v="2"/>
    <s v="362.3K"/>
    <x v="108"/>
    <n v="44500000"/>
    <n v="362300"/>
    <n v="467900"/>
    <x v="178"/>
    <x v="1"/>
  </r>
  <r>
    <x v="180"/>
    <n v="182"/>
    <x v="1"/>
    <x v="162"/>
    <x v="2"/>
    <s v="344.3K"/>
    <x v="109"/>
    <n v="44700000"/>
    <n v="344300"/>
    <n v="462100"/>
    <x v="179"/>
    <x v="1"/>
  </r>
  <r>
    <x v="181"/>
    <n v="183"/>
    <x v="38"/>
    <x v="163"/>
    <x v="3"/>
    <s v="727.5K"/>
    <x v="110"/>
    <n v="20500000"/>
    <n v="727500"/>
    <n v="974000"/>
    <x v="180"/>
    <x v="1"/>
  </r>
  <r>
    <x v="182"/>
    <n v="184"/>
    <x v="53"/>
    <x v="164"/>
    <x v="2"/>
    <s v="226.5K"/>
    <x v="111"/>
    <n v="65500000"/>
    <n v="226500"/>
    <n v="299500"/>
    <x v="181"/>
    <x v="2"/>
  </r>
  <r>
    <x v="183"/>
    <n v="185"/>
    <x v="3"/>
    <x v="165"/>
    <x v="2"/>
    <s v="911.4K"/>
    <x v="29"/>
    <n v="13000000"/>
    <n v="911400"/>
    <n v="1500000"/>
    <x v="182"/>
    <x v="1"/>
  </r>
  <r>
    <x v="184"/>
    <n v="186"/>
    <x v="8"/>
    <x v="166"/>
    <x v="2"/>
    <s v="796.2K"/>
    <x v="103"/>
    <n v="19100000"/>
    <n v="796200"/>
    <n v="1000000"/>
    <x v="183"/>
    <x v="1"/>
  </r>
  <r>
    <x v="185"/>
    <n v="187"/>
    <x v="0"/>
    <x v="167"/>
    <x v="12"/>
    <s v="537.8K"/>
    <x v="112"/>
    <n v="24300000"/>
    <n v="537800"/>
    <n v="787400"/>
    <x v="184"/>
    <x v="1"/>
  </r>
  <r>
    <x v="186"/>
    <n v="188"/>
    <x v="30"/>
    <x v="168"/>
    <x v="4"/>
    <s v="1.5M"/>
    <x v="20"/>
    <n v="10700000"/>
    <n v="1500000"/>
    <n v="1800000"/>
    <x v="185"/>
    <x v="1"/>
  </r>
  <r>
    <x v="187"/>
    <n v="189"/>
    <x v="9"/>
    <x v="169"/>
    <x v="4"/>
    <s v="1.4M"/>
    <x v="20"/>
    <n v="10300000"/>
    <n v="1400000"/>
    <n v="1800000"/>
    <x v="186"/>
    <x v="1"/>
  </r>
  <r>
    <x v="188"/>
    <n v="190"/>
    <x v="0"/>
    <x v="170"/>
    <x v="3"/>
    <s v="190.8K"/>
    <x v="113"/>
    <n v="54700000"/>
    <n v="190800"/>
    <n v="339500"/>
    <x v="187"/>
    <x v="2"/>
  </r>
  <r>
    <x v="189"/>
    <n v="191"/>
    <x v="29"/>
    <x v="84"/>
    <x v="4"/>
    <s v="926.6K"/>
    <x v="16"/>
    <n v="14400000"/>
    <n v="926600"/>
    <n v="1300000"/>
    <x v="188"/>
    <x v="1"/>
  </r>
  <r>
    <x v="190"/>
    <n v="192"/>
    <x v="0"/>
    <x v="171"/>
    <x v="12"/>
    <s v="222.1K"/>
    <x v="114"/>
    <n v="52300000"/>
    <n v="222100"/>
    <n v="343000"/>
    <x v="189"/>
    <x v="2"/>
  </r>
  <r>
    <x v="191"/>
    <n v="193"/>
    <x v="16"/>
    <x v="172"/>
    <x v="6"/>
    <s v="417.9K"/>
    <x v="115"/>
    <n v="35900000"/>
    <n v="417900"/>
    <n v="502200"/>
    <x v="190"/>
    <x v="1"/>
  </r>
  <r>
    <x v="192"/>
    <n v="195"/>
    <x v="39"/>
    <x v="173"/>
    <x v="0"/>
    <s v="694.6K"/>
    <x v="116"/>
    <n v="21400000"/>
    <n v="694600"/>
    <n v="831400"/>
    <x v="191"/>
    <x v="1"/>
  </r>
  <r>
    <x v="193"/>
    <n v="196"/>
    <x v="3"/>
    <x v="174"/>
    <x v="1"/>
    <s v="1.1M"/>
    <x v="16"/>
    <n v="13500000"/>
    <n v="1100000"/>
    <n v="1300000"/>
    <x v="192"/>
    <x v="1"/>
  </r>
  <r>
    <x v="194"/>
    <n v="197"/>
    <x v="8"/>
    <x v="175"/>
    <x v="3"/>
    <s v="479.9K"/>
    <x v="117"/>
    <n v="25700000"/>
    <n v="479900"/>
    <n v="687600"/>
    <x v="193"/>
    <x v="1"/>
  </r>
  <r>
    <x v="195"/>
    <n v="198"/>
    <x v="8"/>
    <x v="176"/>
    <x v="4"/>
    <s v="904.6K"/>
    <x v="22"/>
    <n v="14600000"/>
    <n v="904600"/>
    <n v="1200000"/>
    <x v="194"/>
    <x v="1"/>
  </r>
  <r>
    <x v="196"/>
    <n v="199"/>
    <x v="9"/>
    <x v="177"/>
    <x v="4"/>
    <s v="1M"/>
    <x v="22"/>
    <n v="14000000"/>
    <n v="1000000"/>
    <n v="1200000"/>
    <x v="195"/>
    <x v="1"/>
  </r>
  <r>
    <x v="197"/>
    <n v="200"/>
    <x v="3"/>
    <x v="178"/>
    <x v="3"/>
    <s v="840.2K"/>
    <x v="30"/>
    <n v="16600000.000000002"/>
    <n v="840200"/>
    <n v="1100000"/>
    <x v="196"/>
    <x v="1"/>
  </r>
  <r>
    <x v="198"/>
    <n v="201"/>
    <x v="3"/>
    <x v="179"/>
    <x v="12"/>
    <s v="399.2K"/>
    <x v="118"/>
    <n v="28800000"/>
    <n v="399200"/>
    <n v="613700"/>
    <x v="197"/>
    <x v="1"/>
  </r>
  <r>
    <x v="199"/>
    <n v="202"/>
    <x v="29"/>
    <x v="180"/>
    <x v="11"/>
    <s v="1.7M"/>
    <x v="65"/>
    <n v="6900000"/>
    <n v="1700000"/>
    <n v="2600000"/>
    <x v="198"/>
    <x v="3"/>
  </r>
  <r>
    <x v="200"/>
    <n v="204"/>
    <x v="0"/>
    <x v="181"/>
    <x v="12"/>
    <s v="379.8K"/>
    <x v="119"/>
    <n v="33100000"/>
    <n v="379800"/>
    <n v="517900"/>
    <x v="199"/>
    <x v="1"/>
  </r>
  <r>
    <x v="201"/>
    <n v="205"/>
    <x v="3"/>
    <x v="47"/>
    <x v="2"/>
    <n v="0"/>
    <x v="120"/>
    <m/>
    <m/>
    <m/>
    <x v="200"/>
    <x v="4"/>
  </r>
  <r>
    <x v="202"/>
    <n v="206"/>
    <x v="0"/>
    <x v="182"/>
    <x v="0"/>
    <s v="625.4K"/>
    <x v="121"/>
    <n v="21700000"/>
    <n v="625400"/>
    <n v="784100"/>
    <x v="201"/>
    <x v="1"/>
  </r>
  <r>
    <x v="203"/>
    <n v="207"/>
    <x v="3"/>
    <x v="183"/>
    <x v="2"/>
    <s v="819.7K"/>
    <x v="17"/>
    <n v="12300000"/>
    <n v="819700"/>
    <n v="1400000"/>
    <x v="202"/>
    <x v="1"/>
  </r>
  <r>
    <x v="204"/>
    <n v="208"/>
    <x v="39"/>
    <x v="59"/>
    <x v="4"/>
    <s v="447K"/>
    <x v="122"/>
    <n v="24700000"/>
    <n v="447000"/>
    <n v="687700"/>
    <x v="203"/>
    <x v="1"/>
  </r>
  <r>
    <x v="205"/>
    <n v="209"/>
    <x v="3"/>
    <x v="184"/>
    <x v="3"/>
    <s v="145.8K"/>
    <x v="123"/>
    <n v="62900000"/>
    <n v="145800"/>
    <n v="269500"/>
    <x v="204"/>
    <x v="2"/>
  </r>
  <r>
    <x v="206"/>
    <n v="210"/>
    <x v="3"/>
    <x v="185"/>
    <x v="2"/>
    <s v="568.5K"/>
    <x v="103"/>
    <n v="16100000.000000002"/>
    <n v="568500"/>
    <n v="1000000"/>
    <x v="205"/>
    <x v="1"/>
  </r>
  <r>
    <x v="207"/>
    <n v="211"/>
    <x v="8"/>
    <x v="186"/>
    <x v="0"/>
    <s v="523.3K"/>
    <x v="124"/>
    <n v="25500000"/>
    <n v="523299.99999999994"/>
    <n v="651000"/>
    <x v="206"/>
    <x v="1"/>
  </r>
  <r>
    <x v="208"/>
    <n v="212"/>
    <x v="3"/>
    <x v="187"/>
    <x v="3"/>
    <s v="658.4K"/>
    <x v="125"/>
    <n v="18500000"/>
    <n v="658400"/>
    <n v="901100"/>
    <x v="207"/>
    <x v="1"/>
  </r>
  <r>
    <x v="209"/>
    <n v="213"/>
    <x v="3"/>
    <x v="188"/>
    <x v="0"/>
    <s v="199.6K"/>
    <x v="126"/>
    <n v="70400000"/>
    <n v="199600"/>
    <n v="231800"/>
    <x v="208"/>
    <x v="2"/>
  </r>
  <r>
    <x v="210"/>
    <n v="214"/>
    <x v="3"/>
    <x v="49"/>
    <x v="2"/>
    <s v="410K"/>
    <x v="127"/>
    <n v="30100000"/>
    <n v="410000"/>
    <n v="539000"/>
    <x v="209"/>
    <x v="1"/>
  </r>
  <r>
    <x v="211"/>
    <n v="215"/>
    <x v="8"/>
    <x v="189"/>
    <x v="0"/>
    <s v="1.3M"/>
    <x v="29"/>
    <n v="10900000"/>
    <n v="1300000"/>
    <n v="1500000"/>
    <x v="210"/>
    <x v="1"/>
  </r>
  <r>
    <x v="212"/>
    <n v="216"/>
    <x v="54"/>
    <x v="190"/>
    <x v="0"/>
    <s v="169K"/>
    <x v="128"/>
    <n v="74500000"/>
    <n v="169000"/>
    <n v="217100"/>
    <x v="211"/>
    <x v="2"/>
  </r>
  <r>
    <x v="213"/>
    <n v="218"/>
    <x v="46"/>
    <x v="191"/>
    <x v="0"/>
    <s v="762.3K"/>
    <x v="129"/>
    <n v="17700000"/>
    <n v="762300"/>
    <n v="910200"/>
    <x v="212"/>
    <x v="1"/>
  </r>
  <r>
    <x v="214"/>
    <n v="219"/>
    <x v="3"/>
    <x v="192"/>
    <x v="2"/>
    <s v="442.1K"/>
    <x v="130"/>
    <n v="19800000"/>
    <n v="442100"/>
    <n v="815800"/>
    <x v="213"/>
    <x v="1"/>
  </r>
  <r>
    <x v="215"/>
    <n v="220"/>
    <x v="9"/>
    <x v="193"/>
    <x v="4"/>
    <s v="1.4M"/>
    <x v="20"/>
    <n v="9000000"/>
    <n v="1400000"/>
    <n v="1800000"/>
    <x v="214"/>
    <x v="3"/>
  </r>
  <r>
    <x v="216"/>
    <n v="221"/>
    <x v="8"/>
    <x v="194"/>
    <x v="4"/>
    <s v="851.2K"/>
    <x v="103"/>
    <n v="15500000"/>
    <n v="851200"/>
    <n v="1000000"/>
    <x v="215"/>
    <x v="1"/>
  </r>
  <r>
    <x v="217"/>
    <n v="223"/>
    <x v="9"/>
    <x v="195"/>
    <x v="4"/>
    <s v="412.3K"/>
    <x v="131"/>
    <n v="31300000"/>
    <n v="412300"/>
    <n v="504400"/>
    <x v="216"/>
    <x v="1"/>
  </r>
  <r>
    <x v="218"/>
    <n v="224"/>
    <x v="29"/>
    <x v="196"/>
    <x v="2"/>
    <s v="493.5K"/>
    <x v="132"/>
    <n v="22100000"/>
    <n v="493500"/>
    <n v="699800"/>
    <x v="217"/>
    <x v="1"/>
  </r>
  <r>
    <x v="219"/>
    <n v="225"/>
    <x v="8"/>
    <x v="197"/>
    <x v="2"/>
    <s v="447K"/>
    <x v="133"/>
    <n v="23100000"/>
    <n v="447000"/>
    <n v="668300"/>
    <x v="218"/>
    <x v="1"/>
  </r>
  <r>
    <x v="220"/>
    <n v="226"/>
    <x v="3"/>
    <x v="198"/>
    <x v="4"/>
    <s v="808.8K"/>
    <x v="103"/>
    <n v="15100000"/>
    <n v="808800"/>
    <n v="1000000"/>
    <x v="219"/>
    <x v="1"/>
  </r>
  <r>
    <x v="221"/>
    <n v="227"/>
    <x v="3"/>
    <x v="199"/>
    <x v="3"/>
    <s v="265.4K"/>
    <x v="134"/>
    <n v="27200000"/>
    <n v="265400"/>
    <n v="560600"/>
    <x v="220"/>
    <x v="1"/>
  </r>
  <r>
    <x v="222"/>
    <n v="228"/>
    <x v="55"/>
    <x v="200"/>
    <x v="6"/>
    <s v="1.1M"/>
    <x v="29"/>
    <n v="10000000"/>
    <n v="1100000"/>
    <n v="1500000"/>
    <x v="221"/>
    <x v="1"/>
  </r>
  <r>
    <x v="223"/>
    <n v="229"/>
    <x v="56"/>
    <x v="201"/>
    <x v="4"/>
    <s v="678.7K"/>
    <x v="135"/>
    <n v="17900000"/>
    <n v="678700"/>
    <n v="837200"/>
    <x v="222"/>
    <x v="1"/>
  </r>
  <r>
    <x v="224"/>
    <n v="230"/>
    <x v="8"/>
    <x v="202"/>
    <x v="0"/>
    <s v="336.7K"/>
    <x v="136"/>
    <n v="38000000"/>
    <n v="336700"/>
    <n v="393200"/>
    <x v="223"/>
    <x v="1"/>
  </r>
  <r>
    <x v="225"/>
    <n v="231"/>
    <x v="0"/>
    <x v="203"/>
    <x v="1"/>
    <s v="363.4K"/>
    <x v="137"/>
    <n v="23500000"/>
    <n v="363400"/>
    <n v="628400"/>
    <x v="224"/>
    <x v="1"/>
  </r>
  <r>
    <x v="226"/>
    <n v="232"/>
    <x v="0"/>
    <x v="204"/>
    <x v="3"/>
    <s v="143.2K"/>
    <x v="138"/>
    <n v="61200000"/>
    <n v="143200"/>
    <n v="240500"/>
    <x v="225"/>
    <x v="2"/>
  </r>
  <r>
    <x v="227"/>
    <n v="233"/>
    <x v="57"/>
    <x v="205"/>
    <x v="0"/>
    <s v="418.7K"/>
    <x v="139"/>
    <n v="27900000"/>
    <n v="418700"/>
    <n v="535500"/>
    <x v="226"/>
    <x v="1"/>
  </r>
  <r>
    <x v="228"/>
    <n v="234"/>
    <x v="58"/>
    <x v="206"/>
    <x v="3"/>
    <s v="551.2K"/>
    <x v="140"/>
    <n v="17400000"/>
    <n v="551200"/>
    <n v="850100"/>
    <x v="227"/>
    <x v="1"/>
  </r>
  <r>
    <x v="229"/>
    <n v="235"/>
    <x v="3"/>
    <x v="207"/>
    <x v="1"/>
    <s v="678.8K"/>
    <x v="30"/>
    <n v="13800000"/>
    <n v="678800"/>
    <n v="1100000"/>
    <x v="228"/>
    <x v="1"/>
  </r>
  <r>
    <x v="230"/>
    <n v="236"/>
    <x v="9"/>
    <x v="207"/>
    <x v="16"/>
    <s v="938.2K"/>
    <x v="30"/>
    <n v="13800000"/>
    <n v="938200"/>
    <n v="1100000"/>
    <x v="229"/>
    <x v="1"/>
  </r>
  <r>
    <x v="231"/>
    <n v="237"/>
    <x v="9"/>
    <x v="208"/>
    <x v="4"/>
    <s v="1.2M"/>
    <x v="49"/>
    <n v="9400000"/>
    <n v="1200000"/>
    <n v="1600000"/>
    <x v="230"/>
    <x v="3"/>
  </r>
  <r>
    <x v="232"/>
    <n v="238"/>
    <x v="3"/>
    <x v="209"/>
    <x v="1"/>
    <s v="592.3K"/>
    <x v="96"/>
    <n v="18300000"/>
    <n v="592300"/>
    <n v="793700"/>
    <x v="231"/>
    <x v="1"/>
  </r>
  <r>
    <x v="233"/>
    <n v="239"/>
    <x v="0"/>
    <x v="210"/>
    <x v="0"/>
    <s v="872.1K"/>
    <x v="30"/>
    <n v="12900000"/>
    <n v="872100"/>
    <n v="1100000"/>
    <x v="232"/>
    <x v="1"/>
  </r>
  <r>
    <x v="234"/>
    <n v="240"/>
    <x v="34"/>
    <x v="211"/>
    <x v="3"/>
    <s v="1.2M"/>
    <x v="7"/>
    <n v="7600000"/>
    <n v="1200000"/>
    <n v="1900000"/>
    <x v="233"/>
    <x v="3"/>
  </r>
  <r>
    <x v="235"/>
    <n v="241"/>
    <x v="28"/>
    <x v="212"/>
    <x v="4"/>
    <s v="1.3M"/>
    <x v="49"/>
    <n v="8700000"/>
    <n v="1300000"/>
    <n v="1600000"/>
    <x v="234"/>
    <x v="3"/>
  </r>
  <r>
    <x v="236"/>
    <n v="242"/>
    <x v="59"/>
    <x v="155"/>
    <x v="0"/>
    <s v="752.5K"/>
    <x v="141"/>
    <n v="15900000"/>
    <n v="752500"/>
    <n v="885800"/>
    <x v="235"/>
    <x v="1"/>
  </r>
  <r>
    <x v="237"/>
    <n v="243"/>
    <x v="3"/>
    <x v="112"/>
    <x v="2"/>
    <s v="909.2K"/>
    <x v="22"/>
    <n v="12100000"/>
    <n v="909200"/>
    <n v="1200000"/>
    <x v="236"/>
    <x v="1"/>
  </r>
  <r>
    <x v="238"/>
    <n v="244"/>
    <x v="60"/>
    <x v="213"/>
    <x v="7"/>
    <s v="679.4K"/>
    <x v="142"/>
    <n v="15200000"/>
    <n v="679400"/>
    <n v="923300"/>
    <x v="237"/>
    <x v="1"/>
  </r>
  <r>
    <x v="239"/>
    <n v="245"/>
    <x v="29"/>
    <x v="34"/>
    <x v="2"/>
    <s v="292.1K"/>
    <x v="143"/>
    <n v="36000000"/>
    <n v="292100"/>
    <n v="382500"/>
    <x v="238"/>
    <x v="1"/>
  </r>
  <r>
    <x v="240"/>
    <n v="246"/>
    <x v="8"/>
    <x v="111"/>
    <x v="0"/>
    <s v="315.2K"/>
    <x v="144"/>
    <n v="35400000"/>
    <n v="315200"/>
    <n v="385900"/>
    <x v="239"/>
    <x v="1"/>
  </r>
  <r>
    <x v="241"/>
    <n v="247"/>
    <x v="61"/>
    <x v="214"/>
    <x v="2"/>
    <n v="0"/>
    <x v="38"/>
    <m/>
    <m/>
    <m/>
    <x v="200"/>
    <x v="4"/>
  </r>
  <r>
    <x v="242"/>
    <n v="248"/>
    <x v="8"/>
    <x v="215"/>
    <x v="4"/>
    <s v="1.1M"/>
    <x v="16"/>
    <n v="10200000"/>
    <n v="1100000"/>
    <n v="1300000"/>
    <x v="240"/>
    <x v="1"/>
  </r>
  <r>
    <x v="243"/>
    <n v="249"/>
    <x v="62"/>
    <x v="216"/>
    <x v="6"/>
    <s v="711.7K"/>
    <x v="22"/>
    <n v="11100000"/>
    <n v="711700"/>
    <n v="1200000"/>
    <x v="241"/>
    <x v="1"/>
  </r>
  <r>
    <x v="244"/>
    <n v="250"/>
    <x v="61"/>
    <x v="217"/>
    <x v="2"/>
    <n v="0"/>
    <x v="11"/>
    <m/>
    <m/>
    <m/>
    <x v="200"/>
    <x v="4"/>
  </r>
  <r>
    <x v="245"/>
    <n v="251"/>
    <x v="53"/>
    <x v="218"/>
    <x v="6"/>
    <s v="517.7K"/>
    <x v="145"/>
    <n v="22300000"/>
    <n v="517700.00000000006"/>
    <n v="591200"/>
    <x v="242"/>
    <x v="1"/>
  </r>
  <r>
    <x v="246"/>
    <n v="252"/>
    <x v="3"/>
    <x v="219"/>
    <x v="12"/>
    <s v="605.4K"/>
    <x v="146"/>
    <n v="15000000"/>
    <n v="605400"/>
    <n v="876000"/>
    <x v="243"/>
    <x v="1"/>
  </r>
  <r>
    <x v="247"/>
    <n v="253"/>
    <x v="54"/>
    <x v="220"/>
    <x v="3"/>
    <s v="377.5K"/>
    <x v="147"/>
    <n v="15300000"/>
    <n v="377500"/>
    <n v="855400"/>
    <x v="244"/>
    <x v="1"/>
  </r>
  <r>
    <x v="248"/>
    <n v="254"/>
    <x v="0"/>
    <x v="221"/>
    <x v="3"/>
    <s v="108.8K"/>
    <x v="148"/>
    <n v="67400000"/>
    <n v="108800"/>
    <n v="192300"/>
    <x v="245"/>
    <x v="2"/>
  </r>
  <r>
    <x v="249"/>
    <n v="255"/>
    <x v="8"/>
    <x v="82"/>
    <x v="0"/>
    <s v="329.9K"/>
    <x v="149"/>
    <n v="32299999.999999996"/>
    <n v="329900"/>
    <n v="402500"/>
    <x v="246"/>
    <x v="1"/>
  </r>
  <r>
    <x v="250"/>
    <n v="256"/>
    <x v="9"/>
    <x v="222"/>
    <x v="4"/>
    <s v="1.1M"/>
    <x v="17"/>
    <n v="9300000"/>
    <n v="1100000"/>
    <n v="1400000"/>
    <x v="247"/>
    <x v="3"/>
  </r>
  <r>
    <x v="251"/>
    <n v="257"/>
    <x v="3"/>
    <x v="46"/>
    <x v="1"/>
    <s v="204.4K"/>
    <x v="150"/>
    <n v="45800000"/>
    <n v="204400"/>
    <n v="284400"/>
    <x v="248"/>
    <x v="1"/>
  </r>
  <r>
    <x v="252"/>
    <n v="258"/>
    <x v="3"/>
    <x v="223"/>
    <x v="6"/>
    <s v="324.2K"/>
    <x v="151"/>
    <n v="32799999.999999996"/>
    <n v="324200"/>
    <n v="389700"/>
    <x v="249"/>
    <x v="1"/>
  </r>
  <r>
    <x v="253"/>
    <n v="259"/>
    <x v="63"/>
    <x v="154"/>
    <x v="4"/>
    <s v="475.6K"/>
    <x v="152"/>
    <n v="21200000"/>
    <n v="475600"/>
    <n v="602800"/>
    <x v="250"/>
    <x v="1"/>
  </r>
  <r>
    <x v="254"/>
    <n v="260"/>
    <x v="8"/>
    <x v="224"/>
    <x v="0"/>
    <s v="702.1K"/>
    <x v="153"/>
    <n v="14900000"/>
    <n v="702100"/>
    <n v="852800"/>
    <x v="251"/>
    <x v="1"/>
  </r>
  <r>
    <x v="255"/>
    <n v="261"/>
    <x v="3"/>
    <x v="225"/>
    <x v="5"/>
    <s v="559.6K"/>
    <x v="154"/>
    <n v="18700000"/>
    <n v="559600"/>
    <n v="681100"/>
    <x v="252"/>
    <x v="1"/>
  </r>
  <r>
    <x v="256"/>
    <n v="262"/>
    <x v="64"/>
    <x v="113"/>
    <x v="0"/>
    <s v="177.1K"/>
    <x v="155"/>
    <n v="53100000"/>
    <n v="177100"/>
    <n v="238700"/>
    <x v="253"/>
    <x v="2"/>
  </r>
  <r>
    <x v="257"/>
    <n v="263"/>
    <x v="8"/>
    <x v="226"/>
    <x v="4"/>
    <s v="753.3K"/>
    <x v="156"/>
    <n v="13700000"/>
    <n v="753300"/>
    <n v="918100"/>
    <x v="254"/>
    <x v="1"/>
  </r>
  <r>
    <x v="258"/>
    <n v="264"/>
    <x v="3"/>
    <x v="142"/>
    <x v="6"/>
    <s v="712.4K"/>
    <x v="157"/>
    <n v="13600000"/>
    <n v="712400"/>
    <n v="926900"/>
    <x v="255"/>
    <x v="1"/>
  </r>
  <r>
    <x v="259"/>
    <n v="265"/>
    <x v="3"/>
    <x v="227"/>
    <x v="3"/>
    <s v="210.6K"/>
    <x v="158"/>
    <n v="44000000"/>
    <n v="210600"/>
    <n v="284700"/>
    <x v="256"/>
    <x v="1"/>
  </r>
  <r>
    <x v="260"/>
    <n v="266"/>
    <x v="8"/>
    <x v="149"/>
    <x v="0"/>
    <s v="752.9K"/>
    <x v="159"/>
    <n v="14100000"/>
    <n v="752900"/>
    <n v="883900"/>
    <x v="257"/>
    <x v="1"/>
  </r>
  <r>
    <x v="261"/>
    <n v="267"/>
    <x v="55"/>
    <x v="228"/>
    <x v="0"/>
    <s v="353.4K"/>
    <x v="160"/>
    <n v="27300000"/>
    <n v="353400"/>
    <n v="460100"/>
    <x v="258"/>
    <x v="1"/>
  </r>
  <r>
    <x v="262"/>
    <n v="268"/>
    <x v="49"/>
    <x v="229"/>
    <x v="0"/>
    <s v="289.9K"/>
    <x v="161"/>
    <n v="35100000"/>
    <n v="289900"/>
    <n v="346500"/>
    <x v="259"/>
    <x v="1"/>
  </r>
  <r>
    <x v="263"/>
    <n v="269"/>
    <x v="3"/>
    <x v="230"/>
    <x v="4"/>
    <s v="814.8K"/>
    <x v="162"/>
    <n v="14200000"/>
    <n v="814800"/>
    <n v="865900"/>
    <x v="260"/>
    <x v="1"/>
  </r>
  <r>
    <x v="264"/>
    <n v="270"/>
    <x v="8"/>
    <x v="231"/>
    <x v="0"/>
    <s v="227.7K"/>
    <x v="163"/>
    <n v="43200000"/>
    <n v="227700"/>
    <n v="279500"/>
    <x v="261"/>
    <x v="1"/>
  </r>
  <r>
    <x v="265"/>
    <n v="271"/>
    <x v="3"/>
    <x v="232"/>
    <x v="2"/>
    <s v="472.5K"/>
    <x v="164"/>
    <n v="13100000"/>
    <n v="472500"/>
    <n v="926000"/>
    <x v="262"/>
    <x v="1"/>
  </r>
  <r>
    <x v="266"/>
    <n v="272"/>
    <x v="9"/>
    <x v="233"/>
    <x v="4"/>
    <s v="1.2M"/>
    <x v="29"/>
    <n v="8000000"/>
    <n v="1200000"/>
    <n v="1500000"/>
    <x v="35"/>
    <x v="3"/>
  </r>
  <r>
    <x v="267"/>
    <n v="273"/>
    <x v="61"/>
    <x v="234"/>
    <x v="2"/>
    <n v="0"/>
    <x v="7"/>
    <m/>
    <m/>
    <m/>
    <x v="200"/>
    <x v="4"/>
  </r>
  <r>
    <x v="268"/>
    <n v="274"/>
    <x v="65"/>
    <x v="163"/>
    <x v="0"/>
    <s v="487.2K"/>
    <x v="165"/>
    <n v="20500000"/>
    <n v="487200"/>
    <n v="587500"/>
    <x v="263"/>
    <x v="1"/>
  </r>
  <r>
    <x v="269"/>
    <n v="275"/>
    <x v="61"/>
    <x v="235"/>
    <x v="2"/>
    <n v="0"/>
    <x v="47"/>
    <m/>
    <m/>
    <m/>
    <x v="200"/>
    <x v="4"/>
  </r>
  <r>
    <x v="270"/>
    <n v="276"/>
    <x v="3"/>
    <x v="141"/>
    <x v="2"/>
    <s v="350.9K"/>
    <x v="166"/>
    <n v="24400000"/>
    <n v="350900"/>
    <n v="489800"/>
    <x v="264"/>
    <x v="1"/>
  </r>
  <r>
    <x v="271"/>
    <n v="277"/>
    <x v="9"/>
    <x v="236"/>
    <x v="17"/>
    <n v="0"/>
    <x v="47"/>
    <m/>
    <m/>
    <m/>
    <x v="200"/>
    <x v="4"/>
  </r>
  <r>
    <x v="272"/>
    <n v="279"/>
    <x v="29"/>
    <x v="237"/>
    <x v="4"/>
    <s v="743.9K"/>
    <x v="167"/>
    <n v="12500000"/>
    <n v="743900"/>
    <n v="932800"/>
    <x v="265"/>
    <x v="1"/>
  </r>
  <r>
    <x v="273"/>
    <n v="280"/>
    <x v="3"/>
    <x v="238"/>
    <x v="2"/>
    <s v="491.1K"/>
    <x v="168"/>
    <n v="16500000"/>
    <n v="491100"/>
    <n v="697700"/>
    <x v="266"/>
    <x v="1"/>
  </r>
  <r>
    <x v="274"/>
    <n v="281"/>
    <x v="8"/>
    <x v="176"/>
    <x v="0"/>
    <s v="638.4K"/>
    <x v="169"/>
    <n v="14600000"/>
    <n v="638400"/>
    <n v="780400"/>
    <x v="267"/>
    <x v="1"/>
  </r>
  <r>
    <x v="275"/>
    <n v="282"/>
    <x v="66"/>
    <x v="224"/>
    <x v="3"/>
    <s v="534.7K"/>
    <x v="170"/>
    <n v="14900000"/>
    <n v="534700"/>
    <n v="766600"/>
    <x v="268"/>
    <x v="1"/>
  </r>
  <r>
    <x v="276"/>
    <n v="283"/>
    <x v="61"/>
    <x v="239"/>
    <x v="2"/>
    <n v="0"/>
    <x v="47"/>
    <m/>
    <m/>
    <m/>
    <x v="200"/>
    <x v="4"/>
  </r>
  <r>
    <x v="277"/>
    <n v="284"/>
    <x v="28"/>
    <x v="240"/>
    <x v="2"/>
    <s v="831K"/>
    <x v="17"/>
    <n v="8199999.9999999991"/>
    <n v="831000"/>
    <n v="1400000"/>
    <x v="269"/>
    <x v="3"/>
  </r>
  <r>
    <x v="278"/>
    <n v="285"/>
    <x v="67"/>
    <x v="241"/>
    <x v="2"/>
    <s v="234.1K"/>
    <x v="171"/>
    <n v="33800000"/>
    <n v="234100"/>
    <n v="326700"/>
    <x v="270"/>
    <x v="1"/>
  </r>
  <r>
    <x v="279"/>
    <n v="286"/>
    <x v="8"/>
    <x v="167"/>
    <x v="0"/>
    <s v="400.5K"/>
    <x v="172"/>
    <n v="24300000"/>
    <n v="400500"/>
    <n v="453700"/>
    <x v="271"/>
    <x v="1"/>
  </r>
  <r>
    <x v="280"/>
    <n v="287"/>
    <x v="68"/>
    <x v="61"/>
    <x v="2"/>
    <s v="148.3K"/>
    <x v="173"/>
    <n v="48900000"/>
    <n v="148300"/>
    <n v="224200"/>
    <x v="272"/>
    <x v="1"/>
  </r>
  <r>
    <x v="281"/>
    <n v="288"/>
    <x v="29"/>
    <x v="194"/>
    <x v="3"/>
    <s v="452.3K"/>
    <x v="174"/>
    <n v="15500000"/>
    <n v="452300"/>
    <n v="705700"/>
    <x v="273"/>
    <x v="1"/>
  </r>
  <r>
    <x v="282"/>
    <n v="289"/>
    <x v="69"/>
    <x v="242"/>
    <x v="1"/>
    <s v="342.3K"/>
    <x v="175"/>
    <n v="14700000"/>
    <n v="342300"/>
    <n v="741500"/>
    <x v="274"/>
    <x v="1"/>
  </r>
  <r>
    <x v="283"/>
    <n v="290"/>
    <x v="3"/>
    <x v="153"/>
    <x v="4"/>
    <s v="877.3K"/>
    <x v="30"/>
    <n v="9800000"/>
    <n v="877300"/>
    <n v="1100000"/>
    <x v="275"/>
    <x v="3"/>
  </r>
  <r>
    <x v="284"/>
    <n v="291"/>
    <x v="3"/>
    <x v="180"/>
    <x v="4"/>
    <s v="1.3M"/>
    <x v="49"/>
    <n v="6900000"/>
    <n v="1300000"/>
    <n v="1600000"/>
    <x v="276"/>
    <x v="3"/>
  </r>
  <r>
    <x v="285"/>
    <n v="292"/>
    <x v="8"/>
    <x v="243"/>
    <x v="0"/>
    <s v="388.3K"/>
    <x v="176"/>
    <n v="22600000"/>
    <n v="388300"/>
    <n v="475100"/>
    <x v="277"/>
    <x v="1"/>
  </r>
  <r>
    <x v="286"/>
    <n v="293"/>
    <x v="0"/>
    <x v="193"/>
    <x v="14"/>
    <s v="739.5K"/>
    <x v="22"/>
    <n v="9000000"/>
    <n v="739500"/>
    <n v="1200000"/>
    <x v="278"/>
    <x v="3"/>
  </r>
  <r>
    <x v="287"/>
    <n v="294"/>
    <x v="70"/>
    <x v="94"/>
    <x v="3"/>
    <s v="474.8K"/>
    <x v="177"/>
    <n v="17000000"/>
    <n v="474800"/>
    <n v="626700"/>
    <x v="279"/>
    <x v="1"/>
  </r>
  <r>
    <x v="288"/>
    <n v="296"/>
    <x v="0"/>
    <x v="244"/>
    <x v="18"/>
    <s v="312.5K"/>
    <x v="178"/>
    <n v="26800000"/>
    <n v="312500"/>
    <n v="397100"/>
    <x v="280"/>
    <x v="1"/>
  </r>
  <r>
    <x v="289"/>
    <n v="297"/>
    <x v="3"/>
    <x v="165"/>
    <x v="4"/>
    <s v="660.3K"/>
    <x v="179"/>
    <n v="13000000"/>
    <n v="660300"/>
    <n v="813900"/>
    <x v="281"/>
    <x v="1"/>
  </r>
  <r>
    <x v="290"/>
    <n v="298"/>
    <x v="9"/>
    <x v="169"/>
    <x v="4"/>
    <s v="859.1K"/>
    <x v="103"/>
    <n v="10300000"/>
    <n v="859100"/>
    <n v="1000000"/>
    <x v="282"/>
    <x v="1"/>
  </r>
  <r>
    <x v="291"/>
    <n v="299"/>
    <x v="65"/>
    <x v="245"/>
    <x v="3"/>
    <s v="114.5K"/>
    <x v="180"/>
    <n v="58600000"/>
    <n v="114500"/>
    <n v="179400"/>
    <x v="283"/>
    <x v="2"/>
  </r>
  <r>
    <x v="292"/>
    <n v="300"/>
    <x v="61"/>
    <x v="246"/>
    <x v="2"/>
    <n v="0"/>
    <x v="38"/>
    <m/>
    <m/>
    <m/>
    <x v="200"/>
    <x v="4"/>
  </r>
  <r>
    <x v="293"/>
    <n v="301"/>
    <x v="50"/>
    <x v="208"/>
    <x v="2"/>
    <s v="933.1K"/>
    <x v="30"/>
    <n v="9400000"/>
    <n v="933100"/>
    <n v="1100000"/>
    <x v="284"/>
    <x v="3"/>
  </r>
  <r>
    <x v="294"/>
    <n v="302"/>
    <x v="27"/>
    <x v="230"/>
    <x v="2"/>
    <s v="493.3K"/>
    <x v="181"/>
    <n v="14200000"/>
    <n v="493300"/>
    <n v="724200"/>
    <x v="285"/>
    <x v="1"/>
  </r>
  <r>
    <x v="295"/>
    <n v="303"/>
    <x v="3"/>
    <x v="84"/>
    <x v="4"/>
    <s v="541.4K"/>
    <x v="182"/>
    <n v="14400000"/>
    <n v="541400"/>
    <n v="709200"/>
    <x v="286"/>
    <x v="1"/>
  </r>
  <r>
    <x v="296"/>
    <n v="304"/>
    <x v="3"/>
    <x v="247"/>
    <x v="4"/>
    <s v="950.4K"/>
    <x v="22"/>
    <n v="8400000"/>
    <n v="950400"/>
    <n v="1200000"/>
    <x v="287"/>
    <x v="3"/>
  </r>
  <r>
    <x v="297"/>
    <n v="305"/>
    <x v="8"/>
    <x v="248"/>
    <x v="4"/>
    <s v="930.3K"/>
    <x v="22"/>
    <n v="8300000.0000000009"/>
    <n v="930300"/>
    <n v="1200000"/>
    <x v="288"/>
    <x v="3"/>
  </r>
  <r>
    <x v="298"/>
    <n v="306"/>
    <x v="28"/>
    <x v="249"/>
    <x v="4"/>
    <s v="1.4M"/>
    <x v="45"/>
    <n v="5900000"/>
    <n v="1400000"/>
    <n v="1700000"/>
    <x v="289"/>
    <x v="3"/>
  </r>
  <r>
    <x v="299"/>
    <n v="307"/>
    <x v="61"/>
    <x v="240"/>
    <x v="3"/>
    <s v="973.8K"/>
    <x v="16"/>
    <n v="8199999.9999999991"/>
    <n v="973800"/>
    <n v="1300000"/>
    <x v="290"/>
    <x v="3"/>
  </r>
  <r>
    <x v="300"/>
    <n v="308"/>
    <x v="65"/>
    <x v="250"/>
    <x v="2"/>
    <s v="1M"/>
    <x v="49"/>
    <n v="6500000"/>
    <n v="1000000"/>
    <n v="1600000"/>
    <x v="106"/>
    <x v="3"/>
  </r>
  <r>
    <x v="301"/>
    <n v="309"/>
    <x v="61"/>
    <x v="251"/>
    <x v="6"/>
    <s v="699.7K"/>
    <x v="183"/>
    <n v="12000000"/>
    <n v="699700"/>
    <n v="832700"/>
    <x v="291"/>
    <x v="1"/>
  </r>
  <r>
    <x v="302"/>
    <n v="310"/>
    <x v="61"/>
    <x v="252"/>
    <x v="3"/>
    <s v="667.5K"/>
    <x v="17"/>
    <n v="7300000"/>
    <n v="667500"/>
    <n v="1400000"/>
    <x v="292"/>
    <x v="3"/>
  </r>
  <r>
    <x v="303"/>
    <n v="311"/>
    <x v="3"/>
    <x v="253"/>
    <x v="4"/>
    <s v="678.9K"/>
    <x v="184"/>
    <n v="10500000"/>
    <n v="678900"/>
    <n v="952400"/>
    <x v="293"/>
    <x v="1"/>
  </r>
  <r>
    <x v="304"/>
    <n v="312"/>
    <x v="2"/>
    <x v="201"/>
    <x v="7"/>
    <s v="412.1K"/>
    <x v="185"/>
    <n v="17900000"/>
    <n v="412100"/>
    <n v="556000"/>
    <x v="294"/>
    <x v="1"/>
  </r>
  <r>
    <x v="305"/>
    <n v="313"/>
    <x v="71"/>
    <x v="254"/>
    <x v="19"/>
    <s v="590.8K"/>
    <x v="186"/>
    <n v="12800000"/>
    <n v="590800"/>
    <n v="776300"/>
    <x v="295"/>
    <x v="1"/>
  </r>
  <r>
    <x v="306"/>
    <n v="314"/>
    <x v="3"/>
    <x v="255"/>
    <x v="4"/>
    <s v="394.8K"/>
    <x v="187"/>
    <n v="16900000"/>
    <n v="394800"/>
    <n v="581300"/>
    <x v="296"/>
    <x v="1"/>
  </r>
  <r>
    <x v="307"/>
    <n v="315"/>
    <x v="72"/>
    <x v="256"/>
    <x v="2"/>
    <s v="315.5K"/>
    <x v="188"/>
    <n v="18400000"/>
    <n v="315500"/>
    <n v="531000"/>
    <x v="297"/>
    <x v="1"/>
  </r>
  <r>
    <x v="308"/>
    <n v="316"/>
    <x v="9"/>
    <x v="210"/>
    <x v="6"/>
    <s v="684.5K"/>
    <x v="189"/>
    <n v="12900000"/>
    <n v="684500"/>
    <n v="754700"/>
    <x v="298"/>
    <x v="1"/>
  </r>
  <r>
    <x v="309"/>
    <n v="317"/>
    <x v="3"/>
    <x v="149"/>
    <x v="4"/>
    <s v="555.1K"/>
    <x v="190"/>
    <n v="14100000"/>
    <n v="555100"/>
    <n v="685800"/>
    <x v="299"/>
    <x v="1"/>
  </r>
  <r>
    <x v="310"/>
    <n v="318"/>
    <x v="3"/>
    <x v="252"/>
    <x v="4"/>
    <s v="1.2M"/>
    <x v="16"/>
    <n v="7300000"/>
    <n v="1200000"/>
    <n v="1300000"/>
    <x v="300"/>
    <x v="3"/>
  </r>
  <r>
    <x v="311"/>
    <n v="319"/>
    <x v="73"/>
    <x v="257"/>
    <x v="16"/>
    <s v="467.4K"/>
    <x v="191"/>
    <n v="17300000"/>
    <n v="467400"/>
    <n v="557700"/>
    <x v="301"/>
    <x v="1"/>
  </r>
  <r>
    <x v="312"/>
    <n v="320"/>
    <x v="28"/>
    <x v="149"/>
    <x v="2"/>
    <s v="502.1K"/>
    <x v="192"/>
    <n v="14100000"/>
    <n v="502100"/>
    <n v="677800"/>
    <x v="302"/>
    <x v="1"/>
  </r>
  <r>
    <x v="313"/>
    <n v="321"/>
    <x v="8"/>
    <x v="258"/>
    <x v="0"/>
    <s v="525.4K"/>
    <x v="193"/>
    <n v="14800000"/>
    <n v="525400"/>
    <n v="650000"/>
    <x v="303"/>
    <x v="1"/>
  </r>
  <r>
    <x v="314"/>
    <n v="322"/>
    <x v="74"/>
    <x v="237"/>
    <x v="4"/>
    <s v="604.8K"/>
    <x v="194"/>
    <n v="12500000"/>
    <n v="604800"/>
    <n v="763000"/>
    <x v="304"/>
    <x v="1"/>
  </r>
  <r>
    <x v="315"/>
    <n v="323"/>
    <x v="61"/>
    <x v="259"/>
    <x v="2"/>
    <n v="0"/>
    <x v="20"/>
    <m/>
    <m/>
    <m/>
    <x v="200"/>
    <x v="4"/>
  </r>
  <r>
    <x v="316"/>
    <n v="324"/>
    <x v="19"/>
    <x v="260"/>
    <x v="2"/>
    <s v="282.8K"/>
    <x v="195"/>
    <n v="22900000"/>
    <n v="282800"/>
    <n v="414000"/>
    <x v="305"/>
    <x v="1"/>
  </r>
  <r>
    <x v="317"/>
    <n v="325"/>
    <x v="75"/>
    <x v="200"/>
    <x v="4"/>
    <s v="909.7K"/>
    <x v="196"/>
    <n v="10000000"/>
    <n v="909700"/>
    <n v="960700"/>
    <x v="306"/>
    <x v="1"/>
  </r>
  <r>
    <x v="318"/>
    <n v="326"/>
    <x v="3"/>
    <x v="261"/>
    <x v="2"/>
    <s v="274.8K"/>
    <x v="197"/>
    <n v="22400000"/>
    <n v="274800"/>
    <n v="420200"/>
    <x v="307"/>
    <x v="1"/>
  </r>
  <r>
    <x v="319"/>
    <n v="327"/>
    <x v="16"/>
    <x v="226"/>
    <x v="4"/>
    <s v="555.7K"/>
    <x v="198"/>
    <n v="13700000"/>
    <n v="555700"/>
    <n v="683100"/>
    <x v="308"/>
    <x v="1"/>
  </r>
  <r>
    <x v="320"/>
    <n v="328"/>
    <x v="0"/>
    <x v="189"/>
    <x v="12"/>
    <s v="503.1K"/>
    <x v="199"/>
    <n v="10900000"/>
    <n v="503100"/>
    <n v="862300"/>
    <x v="309"/>
    <x v="1"/>
  </r>
  <r>
    <x v="321"/>
    <n v="329"/>
    <x v="76"/>
    <x v="262"/>
    <x v="0"/>
    <s v="179.2K"/>
    <x v="200"/>
    <n v="40100000"/>
    <n v="179200"/>
    <n v="233400"/>
    <x v="310"/>
    <x v="1"/>
  </r>
  <r>
    <x v="322"/>
    <n v="330"/>
    <x v="3"/>
    <x v="263"/>
    <x v="4"/>
    <s v="725.8K"/>
    <x v="201"/>
    <n v="9900000"/>
    <n v="725800"/>
    <n v="959700"/>
    <x v="311"/>
    <x v="3"/>
  </r>
  <r>
    <x v="323"/>
    <n v="331"/>
    <x v="7"/>
    <x v="123"/>
    <x v="3"/>
    <s v="198.7K"/>
    <x v="202"/>
    <n v="29500000"/>
    <n v="198700"/>
    <n v="315700"/>
    <x v="312"/>
    <x v="1"/>
  </r>
  <r>
    <x v="324"/>
    <n v="332"/>
    <x v="77"/>
    <x v="103"/>
    <x v="2"/>
    <s v="217.3K"/>
    <x v="203"/>
    <n v="25400000"/>
    <n v="217300"/>
    <n v="365000"/>
    <x v="313"/>
    <x v="1"/>
  </r>
  <r>
    <x v="325"/>
    <n v="333"/>
    <x v="3"/>
    <x v="264"/>
    <x v="20"/>
    <s v="565.8K"/>
    <x v="204"/>
    <n v="11600000"/>
    <n v="565800"/>
    <n v="794000"/>
    <x v="314"/>
    <x v="1"/>
  </r>
  <r>
    <x v="326"/>
    <n v="334"/>
    <x v="0"/>
    <x v="265"/>
    <x v="20"/>
    <s v="322.4K"/>
    <x v="205"/>
    <n v="18000000"/>
    <n v="322400"/>
    <n v="499500"/>
    <x v="315"/>
    <x v="1"/>
  </r>
  <r>
    <x v="327"/>
    <n v="335"/>
    <x v="78"/>
    <x v="266"/>
    <x v="2"/>
    <s v="115.9K"/>
    <x v="206"/>
    <n v="65400000.000000007"/>
    <n v="115900"/>
    <n v="136600"/>
    <x v="316"/>
    <x v="2"/>
  </r>
  <r>
    <x v="328"/>
    <n v="336"/>
    <x v="61"/>
    <x v="267"/>
    <x v="6"/>
    <s v="669.1K"/>
    <x v="207"/>
    <n v="11000000"/>
    <n v="669100"/>
    <n v="803900"/>
    <x v="317"/>
    <x v="1"/>
  </r>
  <r>
    <x v="329"/>
    <n v="337"/>
    <x v="3"/>
    <x v="230"/>
    <x v="9"/>
    <s v="449.7K"/>
    <x v="208"/>
    <n v="14200000"/>
    <n v="449700"/>
    <n v="622100"/>
    <x v="318"/>
    <x v="1"/>
  </r>
  <r>
    <x v="330"/>
    <n v="338"/>
    <x v="8"/>
    <x v="16"/>
    <x v="2"/>
    <s v="180.7K"/>
    <x v="209"/>
    <n v="37400000"/>
    <n v="180700"/>
    <n v="235100"/>
    <x v="319"/>
    <x v="1"/>
  </r>
  <r>
    <x v="331"/>
    <n v="339"/>
    <x v="3"/>
    <x v="268"/>
    <x v="4"/>
    <s v="414.3K"/>
    <x v="210"/>
    <n v="17200000"/>
    <n v="414300"/>
    <n v="507300"/>
    <x v="320"/>
    <x v="1"/>
  </r>
  <r>
    <x v="332"/>
    <n v="340"/>
    <x v="3"/>
    <x v="175"/>
    <x v="4"/>
    <s v="263K"/>
    <x v="211"/>
    <n v="25700000"/>
    <n v="263000"/>
    <n v="339000"/>
    <x v="321"/>
    <x v="1"/>
  </r>
  <r>
    <x v="333"/>
    <n v="341"/>
    <x v="3"/>
    <x v="269"/>
    <x v="6"/>
    <s v="125K"/>
    <x v="212"/>
    <n v="52800000"/>
    <n v="125000"/>
    <n v="163600"/>
    <x v="322"/>
    <x v="2"/>
  </r>
  <r>
    <x v="334"/>
    <n v="342"/>
    <x v="79"/>
    <x v="177"/>
    <x v="2"/>
    <s v="392.3K"/>
    <x v="213"/>
    <n v="14000000"/>
    <n v="392300"/>
    <n v="611800"/>
    <x v="323"/>
    <x v="1"/>
  </r>
  <r>
    <x v="335"/>
    <n v="343"/>
    <x v="0"/>
    <x v="270"/>
    <x v="20"/>
    <s v="92.3K"/>
    <x v="214"/>
    <n v="59000000"/>
    <n v="92300"/>
    <n v="145200"/>
    <x v="324"/>
    <x v="2"/>
  </r>
  <r>
    <x v="336"/>
    <n v="344"/>
    <x v="8"/>
    <x v="271"/>
    <x v="2"/>
    <s v="281.8K"/>
    <x v="215"/>
    <n v="20200000"/>
    <n v="281800"/>
    <n v="422700"/>
    <x v="325"/>
    <x v="1"/>
  </r>
  <r>
    <x v="337"/>
    <n v="345"/>
    <x v="28"/>
    <x v="272"/>
    <x v="5"/>
    <s v="691.6K"/>
    <x v="216"/>
    <n v="10100000"/>
    <n v="691600"/>
    <n v="832200"/>
    <x v="326"/>
    <x v="1"/>
  </r>
  <r>
    <x v="338"/>
    <n v="346"/>
    <x v="80"/>
    <x v="273"/>
    <x v="2"/>
    <s v="228.9K"/>
    <x v="217"/>
    <n v="25000000"/>
    <n v="228900"/>
    <n v="335500"/>
    <x v="327"/>
    <x v="1"/>
  </r>
  <r>
    <x v="339"/>
    <n v="347"/>
    <x v="9"/>
    <x v="235"/>
    <x v="2"/>
    <s v="695.7K"/>
    <x v="29"/>
    <n v="5800000"/>
    <n v="695700"/>
    <n v="1500000"/>
    <x v="328"/>
    <x v="3"/>
  </r>
  <r>
    <x v="340"/>
    <n v="348"/>
    <x v="16"/>
    <x v="274"/>
    <x v="0"/>
    <s v="225.3K"/>
    <x v="218"/>
    <n v="32000000"/>
    <n v="225300"/>
    <n v="259600.00000000003"/>
    <x v="329"/>
    <x v="1"/>
  </r>
  <r>
    <x v="341"/>
    <n v="349"/>
    <x v="30"/>
    <x v="215"/>
    <x v="2"/>
    <s v="533.1K"/>
    <x v="219"/>
    <n v="10200000"/>
    <n v="533100"/>
    <n v="807000"/>
    <x v="330"/>
    <x v="1"/>
  </r>
  <r>
    <x v="342"/>
    <n v="350"/>
    <x v="81"/>
    <x v="275"/>
    <x v="0"/>
    <s v="539.3K"/>
    <x v="220"/>
    <n v="13400000"/>
    <n v="539300"/>
    <n v="616300"/>
    <x v="331"/>
    <x v="1"/>
  </r>
  <r>
    <x v="343"/>
    <n v="351"/>
    <x v="20"/>
    <x v="276"/>
    <x v="12"/>
    <s v="725.4K"/>
    <x v="103"/>
    <n v="7800000"/>
    <n v="725400"/>
    <n v="1000000"/>
    <x v="332"/>
    <x v="3"/>
  </r>
  <r>
    <x v="344"/>
    <n v="352"/>
    <x v="47"/>
    <x v="232"/>
    <x v="2"/>
    <s v="325.4K"/>
    <x v="221"/>
    <n v="13100000"/>
    <n v="325400"/>
    <n v="610900"/>
    <x v="333"/>
    <x v="1"/>
  </r>
  <r>
    <x v="345"/>
    <n v="353"/>
    <x v="82"/>
    <x v="277"/>
    <x v="2"/>
    <s v="144.7K"/>
    <x v="222"/>
    <n v="50300000"/>
    <n v="144700"/>
    <n v="159800"/>
    <x v="334"/>
    <x v="2"/>
  </r>
  <r>
    <x v="346"/>
    <n v="354"/>
    <x v="16"/>
    <x v="215"/>
    <x v="2"/>
    <s v="392.6K"/>
    <x v="223"/>
    <n v="10200000"/>
    <n v="392600"/>
    <n v="783800"/>
    <x v="335"/>
    <x v="1"/>
  </r>
  <r>
    <x v="347"/>
    <n v="355"/>
    <x v="83"/>
    <x v="278"/>
    <x v="4"/>
    <s v="243.2K"/>
    <x v="224"/>
    <n v="23900000"/>
    <n v="243200"/>
    <n v="333300"/>
    <x v="336"/>
    <x v="1"/>
  </r>
  <r>
    <x v="348"/>
    <n v="356"/>
    <x v="16"/>
    <x v="149"/>
    <x v="6"/>
    <s v="389.5K"/>
    <x v="225"/>
    <n v="14100000"/>
    <n v="389500"/>
    <n v="563700"/>
    <x v="337"/>
    <x v="1"/>
  </r>
  <r>
    <x v="349"/>
    <n v="357"/>
    <x v="84"/>
    <x v="193"/>
    <x v="2"/>
    <s v="542K"/>
    <x v="226"/>
    <n v="9000000"/>
    <n v="542000"/>
    <n v="895000"/>
    <x v="338"/>
    <x v="3"/>
  </r>
  <r>
    <x v="350"/>
    <n v="358"/>
    <x v="85"/>
    <x v="279"/>
    <x v="14"/>
    <s v="296.5K"/>
    <x v="227"/>
    <n v="19500000"/>
    <n v="296500"/>
    <n v="410200"/>
    <x v="339"/>
    <x v="1"/>
  </r>
  <r>
    <x v="351"/>
    <n v="359"/>
    <x v="3"/>
    <x v="280"/>
    <x v="1"/>
    <s v="439K"/>
    <x v="228"/>
    <n v="12200000"/>
    <n v="439000"/>
    <n v="649500"/>
    <x v="340"/>
    <x v="1"/>
  </r>
  <r>
    <x v="352"/>
    <n v="360"/>
    <x v="86"/>
    <x v="281"/>
    <x v="2"/>
    <s v="305.4K"/>
    <x v="229"/>
    <n v="19900000"/>
    <n v="305400"/>
    <n v="398200"/>
    <x v="341"/>
    <x v="1"/>
  </r>
  <r>
    <x v="353"/>
    <n v="361"/>
    <x v="19"/>
    <x v="282"/>
    <x v="4"/>
    <s v="170.1K"/>
    <x v="230"/>
    <n v="38900000"/>
    <n v="170100"/>
    <n v="200700"/>
    <x v="342"/>
    <x v="1"/>
  </r>
  <r>
    <x v="354"/>
    <n v="362"/>
    <x v="39"/>
    <x v="160"/>
    <x v="2"/>
    <s v="765K"/>
    <x v="231"/>
    <n v="8500000"/>
    <n v="765000"/>
    <n v="956800"/>
    <x v="343"/>
    <x v="3"/>
  </r>
  <r>
    <x v="355"/>
    <n v="363"/>
    <x v="8"/>
    <x v="168"/>
    <x v="7"/>
    <s v="567.8K"/>
    <x v="232"/>
    <n v="10700000"/>
    <n v="567800"/>
    <n v="741700"/>
    <x v="344"/>
    <x v="1"/>
  </r>
  <r>
    <x v="356"/>
    <n v="364"/>
    <x v="8"/>
    <x v="278"/>
    <x v="0"/>
    <s v="267.8K"/>
    <x v="233"/>
    <n v="23900000"/>
    <n v="267800"/>
    <n v="324400"/>
    <x v="345"/>
    <x v="1"/>
  </r>
  <r>
    <x v="357"/>
    <n v="365"/>
    <x v="27"/>
    <x v="283"/>
    <x v="10"/>
    <s v="286.1K"/>
    <x v="234"/>
    <n v="19400000"/>
    <n v="286100"/>
    <n v="401700"/>
    <x v="346"/>
    <x v="1"/>
  </r>
  <r>
    <x v="358"/>
    <n v="366"/>
    <x v="8"/>
    <x v="284"/>
    <x v="2"/>
    <s v="35.5K"/>
    <x v="235"/>
    <n v="148800000"/>
    <n v="35500"/>
    <n v="52300"/>
    <x v="347"/>
    <x v="0"/>
  </r>
  <r>
    <x v="359"/>
    <n v="367"/>
    <x v="34"/>
    <x v="281"/>
    <x v="0"/>
    <s v="311.5K"/>
    <x v="236"/>
    <n v="19900000"/>
    <n v="311500"/>
    <n v="387100"/>
    <x v="348"/>
    <x v="1"/>
  </r>
  <r>
    <x v="360"/>
    <n v="368"/>
    <x v="29"/>
    <x v="285"/>
    <x v="2"/>
    <s v="184.7K"/>
    <x v="237"/>
    <n v="26500000"/>
    <n v="184700"/>
    <n v="289800"/>
    <x v="349"/>
    <x v="1"/>
  </r>
  <r>
    <x v="361"/>
    <n v="369"/>
    <x v="8"/>
    <x v="286"/>
    <x v="3"/>
    <s v="105.1K"/>
    <x v="238"/>
    <n v="43100000"/>
    <n v="105100"/>
    <n v="181800"/>
    <x v="350"/>
    <x v="1"/>
  </r>
  <r>
    <x v="362"/>
    <n v="370"/>
    <x v="8"/>
    <x v="149"/>
    <x v="3"/>
    <s v="362.2K"/>
    <x v="239"/>
    <n v="14100000"/>
    <n v="362200"/>
    <n v="545500"/>
    <x v="351"/>
    <x v="1"/>
  </r>
  <r>
    <x v="363"/>
    <n v="371"/>
    <x v="8"/>
    <x v="211"/>
    <x v="2"/>
    <s v="691.5K"/>
    <x v="103"/>
    <n v="7600000"/>
    <n v="691500"/>
    <n v="1000000"/>
    <x v="352"/>
    <x v="3"/>
  </r>
  <r>
    <x v="364"/>
    <n v="372"/>
    <x v="65"/>
    <x v="129"/>
    <x v="2"/>
    <s v="166K"/>
    <x v="240"/>
    <n v="31800000"/>
    <n v="166000"/>
    <n v="241700"/>
    <x v="353"/>
    <x v="1"/>
  </r>
  <r>
    <x v="365"/>
    <n v="373"/>
    <x v="3"/>
    <x v="137"/>
    <x v="3"/>
    <s v="227.9K"/>
    <x v="241"/>
    <n v="16000000"/>
    <n v="227900"/>
    <n v="475500"/>
    <x v="354"/>
    <x v="1"/>
  </r>
  <r>
    <x v="366"/>
    <n v="374"/>
    <x v="77"/>
    <x v="287"/>
    <x v="3"/>
    <s v="215K"/>
    <x v="242"/>
    <n v="27700000"/>
    <n v="215000"/>
    <n v="275500"/>
    <x v="355"/>
    <x v="1"/>
  </r>
  <r>
    <x v="367"/>
    <n v="375"/>
    <x v="3"/>
    <x v="288"/>
    <x v="1"/>
    <s v="173.6K"/>
    <x v="243"/>
    <n v="27500000"/>
    <n v="173600"/>
    <n v="275400"/>
    <x v="356"/>
    <x v="1"/>
  </r>
  <r>
    <x v="368"/>
    <n v="376"/>
    <x v="8"/>
    <x v="289"/>
    <x v="0"/>
    <s v="842.7K"/>
    <x v="244"/>
    <n v="8100000"/>
    <n v="842700"/>
    <n v="944000"/>
    <x v="357"/>
    <x v="3"/>
  </r>
  <r>
    <x v="369"/>
    <n v="377"/>
    <x v="8"/>
    <x v="48"/>
    <x v="2"/>
    <s v="186.7K"/>
    <x v="245"/>
    <n v="27000000"/>
    <n v="186700"/>
    <n v="277600"/>
    <x v="358"/>
    <x v="1"/>
  </r>
  <r>
    <x v="370"/>
    <n v="378"/>
    <x v="3"/>
    <x v="237"/>
    <x v="2"/>
    <s v="358.9K"/>
    <x v="246"/>
    <n v="12500000"/>
    <n v="358900"/>
    <n v="600800"/>
    <x v="359"/>
    <x v="1"/>
  </r>
  <r>
    <x v="371"/>
    <n v="379"/>
    <x v="87"/>
    <x v="195"/>
    <x v="2"/>
    <s v="132.9K"/>
    <x v="247"/>
    <n v="31300000"/>
    <n v="132900"/>
    <n v="239600"/>
    <x v="360"/>
    <x v="1"/>
  </r>
  <r>
    <x v="372"/>
    <n v="380"/>
    <x v="0"/>
    <x v="273"/>
    <x v="3"/>
    <s v="182.8K"/>
    <x v="248"/>
    <n v="25000000"/>
    <n v="182800"/>
    <n v="297700"/>
    <x v="361"/>
    <x v="1"/>
  </r>
  <r>
    <x v="373"/>
    <n v="381"/>
    <x v="84"/>
    <x v="46"/>
    <x v="2"/>
    <s v="110.9K"/>
    <x v="249"/>
    <n v="45800000"/>
    <n v="110900"/>
    <n v="162900"/>
    <x v="362"/>
    <x v="1"/>
  </r>
  <r>
    <x v="374"/>
    <n v="382"/>
    <x v="88"/>
    <x v="225"/>
    <x v="2"/>
    <s v="309.1K"/>
    <x v="250"/>
    <n v="18700000"/>
    <n v="309100"/>
    <n v="395800"/>
    <x v="363"/>
    <x v="1"/>
  </r>
  <r>
    <x v="375"/>
    <n v="383"/>
    <x v="3"/>
    <x v="290"/>
    <x v="4"/>
    <s v="1.3M"/>
    <x v="29"/>
    <n v="4900000"/>
    <n v="1300000"/>
    <n v="1500000"/>
    <x v="364"/>
    <x v="3"/>
  </r>
  <r>
    <x v="376"/>
    <n v="384"/>
    <x v="77"/>
    <x v="60"/>
    <x v="2"/>
    <s v="155.5K"/>
    <x v="251"/>
    <n v="32900000"/>
    <n v="155500"/>
    <n v="222300"/>
    <x v="365"/>
    <x v="1"/>
  </r>
  <r>
    <x v="377"/>
    <n v="385"/>
    <x v="3"/>
    <x v="291"/>
    <x v="5"/>
    <s v="339.4K"/>
    <x v="252"/>
    <n v="18100000"/>
    <n v="339400"/>
    <n v="402900"/>
    <x v="366"/>
    <x v="1"/>
  </r>
  <r>
    <x v="378"/>
    <n v="386"/>
    <x v="3"/>
    <x v="180"/>
    <x v="4"/>
    <s v="892.2K"/>
    <x v="30"/>
    <n v="6900000"/>
    <n v="892200"/>
    <n v="1100000"/>
    <x v="367"/>
    <x v="3"/>
  </r>
  <r>
    <x v="379"/>
    <n v="387"/>
    <x v="3"/>
    <x v="200"/>
    <x v="4"/>
    <s v="579.8K"/>
    <x v="253"/>
    <n v="10000000"/>
    <n v="579800"/>
    <n v="727900"/>
    <x v="368"/>
    <x v="1"/>
  </r>
  <r>
    <x v="380"/>
    <n v="388"/>
    <x v="77"/>
    <x v="292"/>
    <x v="2"/>
    <s v="186.2K"/>
    <x v="254"/>
    <n v="13900000"/>
    <n v="186200"/>
    <n v="524500"/>
    <x v="369"/>
    <x v="1"/>
  </r>
  <r>
    <x v="381"/>
    <n v="389"/>
    <x v="61"/>
    <x v="252"/>
    <x v="2"/>
    <s v="606.2K"/>
    <x v="255"/>
    <n v="7300000"/>
    <n v="606200"/>
    <n v="998200"/>
    <x v="370"/>
    <x v="3"/>
  </r>
  <r>
    <x v="382"/>
    <n v="390"/>
    <x v="0"/>
    <x v="264"/>
    <x v="20"/>
    <s v="435.7K"/>
    <x v="256"/>
    <n v="11600000"/>
    <n v="435700"/>
    <n v="621800"/>
    <x v="371"/>
    <x v="1"/>
  </r>
  <r>
    <x v="383"/>
    <n v="391"/>
    <x v="65"/>
    <x v="293"/>
    <x v="4"/>
    <s v="95.7K"/>
    <x v="257"/>
    <n v="58200000"/>
    <n v="95700"/>
    <n v="123400"/>
    <x v="372"/>
    <x v="2"/>
  </r>
  <r>
    <x v="384"/>
    <n v="392"/>
    <x v="9"/>
    <x v="294"/>
    <x v="4"/>
    <s v="1.1M"/>
    <x v="17"/>
    <n v="5100000"/>
    <n v="1100000"/>
    <n v="1400000"/>
    <x v="373"/>
    <x v="3"/>
  </r>
  <r>
    <x v="385"/>
    <n v="393"/>
    <x v="57"/>
    <x v="28"/>
    <x v="2"/>
    <s v="120K"/>
    <x v="258"/>
    <n v="43000000"/>
    <n v="120000"/>
    <n v="166500"/>
    <x v="374"/>
    <x v="1"/>
  </r>
  <r>
    <x v="386"/>
    <n v="394"/>
    <x v="61"/>
    <x v="295"/>
    <x v="2"/>
    <s v="566.2K"/>
    <x v="259"/>
    <n v="7900000"/>
    <n v="566200"/>
    <n v="913700"/>
    <x v="375"/>
    <x v="3"/>
  </r>
  <r>
    <x v="387"/>
    <n v="395"/>
    <x v="8"/>
    <x v="296"/>
    <x v="2"/>
    <s v="233.7K"/>
    <x v="260"/>
    <n v="13200000"/>
    <n v="233700"/>
    <n v="542600"/>
    <x v="376"/>
    <x v="1"/>
  </r>
  <r>
    <x v="388"/>
    <n v="396"/>
    <x v="65"/>
    <x v="124"/>
    <x v="2"/>
    <s v="272.4K"/>
    <x v="261"/>
    <n v="16800000"/>
    <n v="272400"/>
    <n v="420300"/>
    <x v="377"/>
    <x v="1"/>
  </r>
  <r>
    <x v="389"/>
    <n v="397"/>
    <x v="61"/>
    <x v="297"/>
    <x v="2"/>
    <s v="891.4K"/>
    <x v="22"/>
    <n v="6200000"/>
    <n v="891400"/>
    <n v="1200000"/>
    <x v="378"/>
    <x v="3"/>
  </r>
  <r>
    <x v="390"/>
    <n v="398"/>
    <x v="3"/>
    <x v="220"/>
    <x v="0"/>
    <s v="384.9K"/>
    <x v="262"/>
    <n v="15300000"/>
    <n v="384900"/>
    <n v="465200"/>
    <x v="379"/>
    <x v="1"/>
  </r>
  <r>
    <x v="391"/>
    <n v="399"/>
    <x v="2"/>
    <x v="144"/>
    <x v="3"/>
    <s v="160.1K"/>
    <x v="263"/>
    <n v="20700000"/>
    <n v="160100"/>
    <n v="354700"/>
    <x v="380"/>
    <x v="1"/>
  </r>
  <r>
    <x v="392"/>
    <n v="400"/>
    <x v="89"/>
    <x v="214"/>
    <x v="2"/>
    <s v="620K"/>
    <x v="30"/>
    <n v="6300000"/>
    <n v="620000"/>
    <n v="1100000"/>
    <x v="381"/>
    <x v="3"/>
  </r>
  <r>
    <x v="393"/>
    <n v="403"/>
    <x v="8"/>
    <x v="298"/>
    <x v="4"/>
    <s v="411.6K"/>
    <x v="264"/>
    <n v="13300000"/>
    <n v="411600"/>
    <n v="524400"/>
    <x v="382"/>
    <x v="1"/>
  </r>
  <r>
    <x v="394"/>
    <n v="405"/>
    <x v="34"/>
    <x v="196"/>
    <x v="0"/>
    <s v="267.5K"/>
    <x v="265"/>
    <n v="22100000"/>
    <n v="267500"/>
    <n v="314500"/>
    <x v="383"/>
    <x v="1"/>
  </r>
  <r>
    <x v="395"/>
    <n v="406"/>
    <x v="15"/>
    <x v="264"/>
    <x v="0"/>
    <s v="358.1K"/>
    <x v="266"/>
    <n v="11600000"/>
    <n v="358100"/>
    <n v="602100"/>
    <x v="384"/>
    <x v="1"/>
  </r>
  <r>
    <x v="396"/>
    <n v="407"/>
    <x v="3"/>
    <x v="299"/>
    <x v="3"/>
    <s v="157.9K"/>
    <x v="267"/>
    <n v="34800000"/>
    <n v="157900"/>
    <n v="200000"/>
    <x v="385"/>
    <x v="1"/>
  </r>
  <r>
    <x v="397"/>
    <n v="408"/>
    <x v="90"/>
    <x v="16"/>
    <x v="0"/>
    <s v="163.6K"/>
    <x v="268"/>
    <n v="37400000"/>
    <n v="163600"/>
    <n v="183000"/>
    <x v="386"/>
    <x v="1"/>
  </r>
  <r>
    <x v="398"/>
    <n v="409"/>
    <x v="0"/>
    <x v="201"/>
    <x v="1"/>
    <s v="259.6K"/>
    <x v="269"/>
    <n v="17900000"/>
    <n v="259600.00000000003"/>
    <n v="381900"/>
    <x v="387"/>
    <x v="1"/>
  </r>
  <r>
    <x v="399"/>
    <n v="410"/>
    <x v="8"/>
    <x v="300"/>
    <x v="3"/>
    <s v="130.6K"/>
    <x v="270"/>
    <n v="33700000"/>
    <n v="130600"/>
    <n v="207700"/>
    <x v="388"/>
    <x v="1"/>
  </r>
  <r>
    <x v="400"/>
    <n v="411"/>
    <x v="62"/>
    <x v="235"/>
    <x v="4"/>
    <s v="990.9K"/>
    <x v="22"/>
    <n v="5800000"/>
    <n v="990900"/>
    <n v="1200000"/>
    <x v="389"/>
    <x v="3"/>
  </r>
  <r>
    <x v="401"/>
    <n v="412"/>
    <x v="0"/>
    <x v="301"/>
    <x v="2"/>
    <s v="219K"/>
    <x v="271"/>
    <n v="16200000"/>
    <n v="219000"/>
    <n v="416000"/>
    <x v="390"/>
    <x v="1"/>
  </r>
  <r>
    <x v="402"/>
    <n v="413"/>
    <x v="19"/>
    <x v="264"/>
    <x v="7"/>
    <s v="421.3K"/>
    <x v="272"/>
    <n v="11600000"/>
    <n v="421300"/>
    <n v="583100"/>
    <x v="391"/>
    <x v="1"/>
  </r>
  <r>
    <x v="403"/>
    <n v="414"/>
    <x v="9"/>
    <x v="168"/>
    <x v="4"/>
    <s v="506K"/>
    <x v="273"/>
    <n v="10700000"/>
    <n v="506000"/>
    <n v="627300"/>
    <x v="392"/>
    <x v="1"/>
  </r>
  <r>
    <x v="404"/>
    <n v="415"/>
    <x v="8"/>
    <x v="220"/>
    <x v="0"/>
    <s v="344.4K"/>
    <x v="274"/>
    <n v="15300000"/>
    <n v="344400"/>
    <n v="439500"/>
    <x v="393"/>
    <x v="1"/>
  </r>
  <r>
    <x v="405"/>
    <n v="416"/>
    <x v="8"/>
    <x v="76"/>
    <x v="11"/>
    <s v="255.6K"/>
    <x v="275"/>
    <n v="21600000"/>
    <n v="255600"/>
    <n v="309600"/>
    <x v="394"/>
    <x v="1"/>
  </r>
  <r>
    <x v="406"/>
    <n v="417"/>
    <x v="3"/>
    <x v="223"/>
    <x v="0"/>
    <s v="163.9K"/>
    <x v="276"/>
    <n v="32799999.999999996"/>
    <n v="163900"/>
    <n v="201600"/>
    <x v="395"/>
    <x v="1"/>
  </r>
  <r>
    <x v="407"/>
    <n v="418"/>
    <x v="9"/>
    <x v="250"/>
    <x v="4"/>
    <s v="791.2K"/>
    <x v="103"/>
    <n v="6500000"/>
    <n v="791200"/>
    <n v="1000000"/>
    <x v="396"/>
    <x v="3"/>
  </r>
  <r>
    <x v="408"/>
    <n v="419"/>
    <x v="3"/>
    <x v="302"/>
    <x v="4"/>
    <s v="833.1K"/>
    <x v="30"/>
    <n v="6400000"/>
    <n v="833100"/>
    <n v="1100000"/>
    <x v="397"/>
    <x v="3"/>
  </r>
  <r>
    <x v="409"/>
    <n v="420"/>
    <x v="8"/>
    <x v="215"/>
    <x v="4"/>
    <s v="519.3K"/>
    <x v="277"/>
    <n v="10200000"/>
    <n v="519299.99999999994"/>
    <n v="647000"/>
    <x v="398"/>
    <x v="1"/>
  </r>
  <r>
    <x v="410"/>
    <n v="421"/>
    <x v="29"/>
    <x v="303"/>
    <x v="2"/>
    <s v="202.5K"/>
    <x v="278"/>
    <n v="19600000"/>
    <n v="202500"/>
    <n v="334200"/>
    <x v="399"/>
    <x v="1"/>
  </r>
  <r>
    <x v="411"/>
    <n v="422"/>
    <x v="9"/>
    <x v="295"/>
    <x v="3"/>
    <s v="753.3K"/>
    <x v="279"/>
    <n v="7900000"/>
    <n v="753300"/>
    <n v="825800"/>
    <x v="400"/>
    <x v="3"/>
  </r>
  <r>
    <x v="412"/>
    <n v="423"/>
    <x v="91"/>
    <x v="296"/>
    <x v="11"/>
    <s v="389.6K"/>
    <x v="280"/>
    <n v="13200000"/>
    <n v="389600"/>
    <n v="491500"/>
    <x v="401"/>
    <x v="1"/>
  </r>
  <r>
    <x v="413"/>
    <n v="424"/>
    <x v="27"/>
    <x v="169"/>
    <x v="11"/>
    <s v="447.9K"/>
    <x v="281"/>
    <n v="10300000"/>
    <n v="447900"/>
    <n v="626100"/>
    <x v="402"/>
    <x v="1"/>
  </r>
  <r>
    <x v="414"/>
    <n v="425"/>
    <x v="8"/>
    <x v="180"/>
    <x v="4"/>
    <s v="719.2K"/>
    <x v="282"/>
    <n v="6900000"/>
    <n v="719200"/>
    <n v="935800"/>
    <x v="403"/>
    <x v="3"/>
  </r>
  <r>
    <x v="415"/>
    <n v="426"/>
    <x v="9"/>
    <x v="240"/>
    <x v="4"/>
    <s v="685.5K"/>
    <x v="283"/>
    <n v="8199999.9999999991"/>
    <n v="685500"/>
    <n v="779500"/>
    <x v="404"/>
    <x v="3"/>
  </r>
  <r>
    <x v="416"/>
    <n v="427"/>
    <x v="0"/>
    <x v="168"/>
    <x v="12"/>
    <s v="406.4K"/>
    <x v="284"/>
    <n v="10700000"/>
    <n v="406400"/>
    <n v="589800"/>
    <x v="405"/>
    <x v="1"/>
  </r>
  <r>
    <x v="417"/>
    <n v="428"/>
    <x v="9"/>
    <x v="304"/>
    <x v="4"/>
    <s v="758.3K"/>
    <x v="285"/>
    <n v="6700000"/>
    <n v="758300"/>
    <n v="947100"/>
    <x v="406"/>
    <x v="3"/>
  </r>
  <r>
    <x v="418"/>
    <n v="429"/>
    <x v="92"/>
    <x v="181"/>
    <x v="0"/>
    <s v="159.5K"/>
    <x v="286"/>
    <n v="33100000"/>
    <n v="159500"/>
    <n v="189300"/>
    <x v="407"/>
    <x v="1"/>
  </r>
  <r>
    <x v="419"/>
    <n v="430"/>
    <x v="28"/>
    <x v="305"/>
    <x v="4"/>
    <s v="907.2K"/>
    <x v="22"/>
    <n v="5400000"/>
    <n v="907200"/>
    <n v="1200000"/>
    <x v="408"/>
    <x v="3"/>
  </r>
  <r>
    <x v="420"/>
    <n v="431"/>
    <x v="0"/>
    <x v="166"/>
    <x v="12"/>
    <s v="217.3K"/>
    <x v="287"/>
    <n v="19100000"/>
    <n v="217300"/>
    <n v="326900"/>
    <x v="409"/>
    <x v="1"/>
  </r>
  <r>
    <x v="421"/>
    <n v="432"/>
    <x v="93"/>
    <x v="149"/>
    <x v="7"/>
    <s v="300.3K"/>
    <x v="288"/>
    <n v="14100000"/>
    <n v="300300"/>
    <n v="441000"/>
    <x v="410"/>
    <x v="1"/>
  </r>
  <r>
    <x v="422"/>
    <n v="433"/>
    <x v="22"/>
    <x v="264"/>
    <x v="0"/>
    <s v="463.7K"/>
    <x v="289"/>
    <n v="11600000"/>
    <n v="463700"/>
    <n v="586700"/>
    <x v="411"/>
    <x v="1"/>
  </r>
  <r>
    <x v="423"/>
    <n v="434"/>
    <x v="3"/>
    <x v="306"/>
    <x v="2"/>
    <s v="234.9K"/>
    <x v="290"/>
    <n v="16399999.999999998"/>
    <n v="234900"/>
    <n v="379800"/>
    <x v="412"/>
    <x v="1"/>
  </r>
  <r>
    <x v="424"/>
    <n v="435"/>
    <x v="8"/>
    <x v="307"/>
    <x v="2"/>
    <s v="82K"/>
    <x v="291"/>
    <n v="46400000"/>
    <n v="82000"/>
    <n v="133600"/>
    <x v="413"/>
    <x v="1"/>
  </r>
  <r>
    <x v="425"/>
    <n v="436"/>
    <x v="3"/>
    <x v="153"/>
    <x v="1"/>
    <s v="271.8K"/>
    <x v="292"/>
    <n v="9800000"/>
    <n v="271800"/>
    <n v="641300"/>
    <x v="414"/>
    <x v="3"/>
  </r>
  <r>
    <x v="426"/>
    <n v="437"/>
    <x v="27"/>
    <x v="240"/>
    <x v="2"/>
    <s v="538.9K"/>
    <x v="293"/>
    <n v="8199999.9999999991"/>
    <n v="538900"/>
    <n v="767800"/>
    <x v="415"/>
    <x v="3"/>
  </r>
  <r>
    <x v="427"/>
    <n v="438"/>
    <x v="7"/>
    <x v="292"/>
    <x v="3"/>
    <s v="235.9K"/>
    <x v="294"/>
    <n v="13900000"/>
    <n v="235900"/>
    <n v="444800"/>
    <x v="416"/>
    <x v="1"/>
  </r>
  <r>
    <x v="428"/>
    <n v="439"/>
    <x v="46"/>
    <x v="308"/>
    <x v="5"/>
    <s v="840.1K"/>
    <x v="103"/>
    <n v="6000000"/>
    <n v="840100"/>
    <n v="1000000"/>
    <x v="417"/>
    <x v="3"/>
  </r>
  <r>
    <x v="429"/>
    <n v="440"/>
    <x v="3"/>
    <x v="309"/>
    <x v="2"/>
    <s v="113.4K"/>
    <x v="295"/>
    <n v="39500000"/>
    <n v="113400"/>
    <n v="155200"/>
    <x v="418"/>
    <x v="1"/>
  </r>
  <r>
    <x v="430"/>
    <n v="441"/>
    <x v="8"/>
    <x v="310"/>
    <x v="3"/>
    <s v="80.8K"/>
    <x v="296"/>
    <n v="46100000"/>
    <n v="80800"/>
    <n v="132800"/>
    <x v="419"/>
    <x v="1"/>
  </r>
  <r>
    <x v="431"/>
    <n v="442"/>
    <x v="8"/>
    <x v="183"/>
    <x v="3"/>
    <s v="330.9K"/>
    <x v="297"/>
    <n v="12300000"/>
    <n v="330900"/>
    <n v="494300"/>
    <x v="420"/>
    <x v="1"/>
  </r>
  <r>
    <x v="432"/>
    <n v="443"/>
    <x v="3"/>
    <x v="180"/>
    <x v="4"/>
    <s v="720.3K"/>
    <x v="298"/>
    <n v="6900000"/>
    <n v="720300"/>
    <n v="901000"/>
    <x v="421"/>
    <x v="3"/>
  </r>
  <r>
    <x v="433"/>
    <n v="444"/>
    <x v="8"/>
    <x v="159"/>
    <x v="0"/>
    <s v="141.3K"/>
    <x v="299"/>
    <n v="37000000"/>
    <n v="141300"/>
    <n v="164400"/>
    <x v="422"/>
    <x v="1"/>
  </r>
  <r>
    <x v="434"/>
    <n v="445"/>
    <x v="3"/>
    <x v="311"/>
    <x v="2"/>
    <s v="259.7K"/>
    <x v="300"/>
    <n v="19200000"/>
    <n v="259700"/>
    <n v="319700"/>
    <x v="423"/>
    <x v="1"/>
  </r>
  <r>
    <x v="435"/>
    <n v="446"/>
    <x v="3"/>
    <x v="272"/>
    <x v="1"/>
    <s v="390.5K"/>
    <x v="246"/>
    <n v="10100000"/>
    <n v="390500"/>
    <n v="600800"/>
    <x v="424"/>
    <x v="1"/>
  </r>
  <r>
    <x v="436"/>
    <n v="447"/>
    <x v="3"/>
    <x v="302"/>
    <x v="3"/>
    <s v="639.6K"/>
    <x v="301"/>
    <n v="6400000"/>
    <n v="639600"/>
    <n v="955400"/>
    <x v="425"/>
    <x v="3"/>
  </r>
  <r>
    <x v="437"/>
    <n v="448"/>
    <x v="62"/>
    <x v="252"/>
    <x v="4"/>
    <s v="698.2K"/>
    <x v="302"/>
    <n v="7300000"/>
    <n v="698200"/>
    <n v="836500"/>
    <x v="426"/>
    <x v="3"/>
  </r>
  <r>
    <x v="438"/>
    <n v="449"/>
    <x v="8"/>
    <x v="259"/>
    <x v="4"/>
    <s v="931.7K"/>
    <x v="30"/>
    <n v="5300000"/>
    <n v="931700"/>
    <n v="1100000"/>
    <x v="427"/>
    <x v="3"/>
  </r>
  <r>
    <x v="439"/>
    <n v="450"/>
    <x v="19"/>
    <x v="288"/>
    <x v="9"/>
    <s v="129.4K"/>
    <x v="303"/>
    <n v="27500000"/>
    <n v="129400"/>
    <n v="216300"/>
    <x v="428"/>
    <x v="1"/>
  </r>
  <r>
    <x v="440"/>
    <n v="451"/>
    <x v="60"/>
    <x v="208"/>
    <x v="7"/>
    <s v="471.3K"/>
    <x v="304"/>
    <n v="9400000"/>
    <n v="471300"/>
    <n v="648700"/>
    <x v="429"/>
    <x v="3"/>
  </r>
  <r>
    <x v="441"/>
    <n v="452"/>
    <x v="94"/>
    <x v="312"/>
    <x v="7"/>
    <s v="247K"/>
    <x v="305"/>
    <n v="17500000"/>
    <n v="247000"/>
    <n v="337400"/>
    <x v="430"/>
    <x v="1"/>
  </r>
  <r>
    <x v="442"/>
    <n v="453"/>
    <x v="8"/>
    <x v="280"/>
    <x v="0"/>
    <s v="421.5K"/>
    <x v="306"/>
    <n v="12200000"/>
    <n v="421500"/>
    <n v="482200"/>
    <x v="431"/>
    <x v="1"/>
  </r>
  <r>
    <x v="443"/>
    <n v="454"/>
    <x v="16"/>
    <x v="120"/>
    <x v="0"/>
    <s v="297.1K"/>
    <x v="307"/>
    <n v="12600000"/>
    <n v="297100"/>
    <n v="468800"/>
    <x v="432"/>
    <x v="1"/>
  </r>
  <r>
    <x v="444"/>
    <n v="455"/>
    <x v="3"/>
    <x v="281"/>
    <x v="2"/>
    <s v="165.6K"/>
    <x v="308"/>
    <n v="19900000"/>
    <n v="165600"/>
    <n v="295900"/>
    <x v="433"/>
    <x v="1"/>
  </r>
  <r>
    <x v="445"/>
    <n v="457"/>
    <x v="8"/>
    <x v="313"/>
    <x v="6"/>
    <s v="138.3K"/>
    <x v="309"/>
    <n v="29800000"/>
    <n v="138300"/>
    <n v="196700"/>
    <x v="434"/>
    <x v="1"/>
  </r>
  <r>
    <x v="446"/>
    <n v="458"/>
    <x v="0"/>
    <x v="314"/>
    <x v="12"/>
    <s v="99.5K"/>
    <x v="310"/>
    <n v="36400000"/>
    <n v="99500"/>
    <n v="160900"/>
    <x v="435"/>
    <x v="1"/>
  </r>
  <r>
    <x v="447"/>
    <n v="459"/>
    <x v="75"/>
    <x v="315"/>
    <x v="3"/>
    <s v="550.7K"/>
    <x v="311"/>
    <n v="9500000"/>
    <n v="550700"/>
    <n v="624900"/>
    <x v="436"/>
    <x v="3"/>
  </r>
  <r>
    <x v="448"/>
    <n v="460"/>
    <x v="27"/>
    <x v="316"/>
    <x v="2"/>
    <s v="616.3K"/>
    <x v="312"/>
    <n v="7100000"/>
    <n v="616300"/>
    <n v="834000"/>
    <x v="437"/>
    <x v="3"/>
  </r>
  <r>
    <x v="449"/>
    <n v="461"/>
    <x v="8"/>
    <x v="160"/>
    <x v="2"/>
    <s v="531.6K"/>
    <x v="313"/>
    <n v="8500000"/>
    <n v="531600"/>
    <n v="696700"/>
    <x v="438"/>
    <x v="3"/>
  </r>
  <r>
    <x v="450"/>
    <n v="462"/>
    <x v="8"/>
    <x v="217"/>
    <x v="4"/>
    <s v="823.7K"/>
    <x v="30"/>
    <n v="5600000"/>
    <n v="823700"/>
    <n v="1100000"/>
    <x v="439"/>
    <x v="3"/>
  </r>
  <r>
    <x v="451"/>
    <n v="463"/>
    <x v="65"/>
    <x v="317"/>
    <x v="21"/>
    <s v="690.3K"/>
    <x v="314"/>
    <n v="7400000"/>
    <n v="690300"/>
    <n v="829000"/>
    <x v="440"/>
    <x v="3"/>
  </r>
  <r>
    <x v="452"/>
    <n v="464"/>
    <x v="7"/>
    <x v="253"/>
    <x v="2"/>
    <s v="335.5K"/>
    <x v="315"/>
    <n v="10500000"/>
    <n v="335500"/>
    <n v="551700"/>
    <x v="441"/>
    <x v="1"/>
  </r>
  <r>
    <x v="453"/>
    <n v="465"/>
    <x v="3"/>
    <x v="102"/>
    <x v="3"/>
    <s v="134.5K"/>
    <x v="316"/>
    <n v="24600000"/>
    <n v="134500"/>
    <n v="236500"/>
    <x v="442"/>
    <x v="1"/>
  </r>
  <r>
    <x v="454"/>
    <n v="466"/>
    <x v="29"/>
    <x v="268"/>
    <x v="6"/>
    <s v="218.1K"/>
    <x v="317"/>
    <n v="17200000"/>
    <n v="218100"/>
    <n v="334700"/>
    <x v="443"/>
    <x v="1"/>
  </r>
  <r>
    <x v="455"/>
    <n v="467"/>
    <x v="95"/>
    <x v="318"/>
    <x v="4"/>
    <s v="205.4K"/>
    <x v="318"/>
    <n v="11800000"/>
    <n v="205400"/>
    <n v="488200"/>
    <x v="444"/>
    <x v="1"/>
  </r>
  <r>
    <x v="456"/>
    <n v="468"/>
    <x v="33"/>
    <x v="153"/>
    <x v="3"/>
    <s v="344.7K"/>
    <x v="319"/>
    <n v="9800000"/>
    <n v="344700"/>
    <n v="605000"/>
    <x v="445"/>
    <x v="3"/>
  </r>
  <r>
    <x v="457"/>
    <n v="469"/>
    <x v="53"/>
    <x v="319"/>
    <x v="2"/>
    <s v="126.4K"/>
    <x v="320"/>
    <n v="22700000"/>
    <n v="126400"/>
    <n v="253100"/>
    <x v="446"/>
    <x v="1"/>
  </r>
  <r>
    <x v="458"/>
    <n v="470"/>
    <x v="8"/>
    <x v="174"/>
    <x v="4"/>
    <s v="352.9K"/>
    <x v="321"/>
    <n v="13500000"/>
    <n v="352900"/>
    <n v="422900"/>
    <x v="447"/>
    <x v="1"/>
  </r>
  <r>
    <x v="459"/>
    <n v="471"/>
    <x v="9"/>
    <x v="261"/>
    <x v="3"/>
    <s v="166.3K"/>
    <x v="322"/>
    <n v="22400000"/>
    <n v="166300"/>
    <n v="256100.00000000003"/>
    <x v="448"/>
    <x v="1"/>
  </r>
  <r>
    <x v="460"/>
    <n v="472"/>
    <x v="0"/>
    <x v="193"/>
    <x v="12"/>
    <s v="428.7K"/>
    <x v="323"/>
    <n v="9000000"/>
    <n v="428700"/>
    <n v="643000"/>
    <x v="449"/>
    <x v="3"/>
  </r>
  <r>
    <x v="461"/>
    <n v="473"/>
    <x v="9"/>
    <x v="320"/>
    <x v="0"/>
    <s v="391.1K"/>
    <x v="324"/>
    <n v="11500000"/>
    <n v="391100"/>
    <n v="499700"/>
    <x v="450"/>
    <x v="1"/>
  </r>
  <r>
    <x v="462"/>
    <n v="474"/>
    <x v="84"/>
    <x v="321"/>
    <x v="7"/>
    <s v="119.8K"/>
    <x v="325"/>
    <n v="33500000"/>
    <n v="119800"/>
    <n v="168600"/>
    <x v="451"/>
    <x v="1"/>
  </r>
  <r>
    <x v="463"/>
    <n v="475"/>
    <x v="39"/>
    <x v="261"/>
    <x v="2"/>
    <s v="201.1K"/>
    <x v="326"/>
    <n v="22400000"/>
    <n v="201100"/>
    <n v="251000"/>
    <x v="452"/>
    <x v="1"/>
  </r>
  <r>
    <x v="464"/>
    <n v="476"/>
    <x v="3"/>
    <x v="322"/>
    <x v="3"/>
    <s v="77.1K"/>
    <x v="327"/>
    <n v="43800000"/>
    <n v="77100"/>
    <n v="129699.99999999999"/>
    <x v="453"/>
    <x v="1"/>
  </r>
  <r>
    <x v="465"/>
    <n v="477"/>
    <x v="96"/>
    <x v="323"/>
    <x v="2"/>
    <s v="404.2K"/>
    <x v="328"/>
    <n v="9700000"/>
    <n v="404200"/>
    <n v="584600"/>
    <x v="454"/>
    <x v="3"/>
  </r>
  <r>
    <x v="466"/>
    <n v="478"/>
    <x v="8"/>
    <x v="69"/>
    <x v="0"/>
    <s v="207.2K"/>
    <x v="329"/>
    <n v="23000000"/>
    <n v="207200"/>
    <n v="243100"/>
    <x v="455"/>
    <x v="1"/>
  </r>
  <r>
    <x v="467"/>
    <n v="479"/>
    <x v="3"/>
    <x v="324"/>
    <x v="15"/>
    <s v="109.3K"/>
    <x v="330"/>
    <n v="43400000"/>
    <n v="109300"/>
    <n v="129600"/>
    <x v="456"/>
    <x v="1"/>
  </r>
  <r>
    <x v="468"/>
    <n v="480"/>
    <x v="9"/>
    <x v="211"/>
    <x v="2"/>
    <s v="521.8K"/>
    <x v="331"/>
    <n v="7600000"/>
    <n v="521799.99999999994"/>
    <n v="738800"/>
    <x v="457"/>
    <x v="3"/>
  </r>
  <r>
    <x v="469"/>
    <n v="481"/>
    <x v="97"/>
    <x v="325"/>
    <x v="3"/>
    <s v="79.1K"/>
    <x v="332"/>
    <n v="45200000"/>
    <n v="79100"/>
    <n v="122200"/>
    <x v="458"/>
    <x v="1"/>
  </r>
  <r>
    <x v="470"/>
    <n v="482"/>
    <x v="61"/>
    <x v="249"/>
    <x v="6"/>
    <s v="873.7K"/>
    <x v="333"/>
    <n v="5900000"/>
    <n v="873700"/>
    <n v="957200"/>
    <x v="459"/>
    <x v="3"/>
  </r>
  <r>
    <x v="471"/>
    <n v="483"/>
    <x v="8"/>
    <x v="326"/>
    <x v="2"/>
    <s v="159.1K"/>
    <x v="334"/>
    <n v="30500000"/>
    <n v="159100"/>
    <n v="180900"/>
    <x v="460"/>
    <x v="1"/>
  </r>
  <r>
    <x v="472"/>
    <n v="484"/>
    <x v="27"/>
    <x v="166"/>
    <x v="2"/>
    <s v="186.6K"/>
    <x v="335"/>
    <n v="19100000"/>
    <n v="186600"/>
    <n v="288200"/>
    <x v="461"/>
    <x v="1"/>
  </r>
  <r>
    <x v="473"/>
    <n v="485"/>
    <x v="98"/>
    <x v="248"/>
    <x v="2"/>
    <s v="574.9K"/>
    <x v="336"/>
    <n v="8300000.0000000009"/>
    <n v="574900"/>
    <n v="671600"/>
    <x v="462"/>
    <x v="3"/>
  </r>
  <r>
    <x v="474"/>
    <n v="486"/>
    <x v="15"/>
    <x v="230"/>
    <x v="2"/>
    <s v="280.5K"/>
    <x v="337"/>
    <n v="14200000"/>
    <n v="280500"/>
    <n v="387700"/>
    <x v="463"/>
    <x v="1"/>
  </r>
  <r>
    <x v="475"/>
    <n v="487"/>
    <x v="61"/>
    <x v="290"/>
    <x v="5"/>
    <s v="938.5K"/>
    <x v="30"/>
    <n v="4900000"/>
    <n v="938500"/>
    <n v="1100000"/>
    <x v="464"/>
    <x v="3"/>
  </r>
  <r>
    <x v="476"/>
    <n v="488"/>
    <x v="34"/>
    <x v="327"/>
    <x v="3"/>
    <s v="121.2K"/>
    <x v="338"/>
    <n v="28400000"/>
    <n v="121200"/>
    <n v="192700"/>
    <x v="465"/>
    <x v="1"/>
  </r>
  <r>
    <x v="477"/>
    <n v="489"/>
    <x v="0"/>
    <x v="102"/>
    <x v="0"/>
    <s v="189.9K"/>
    <x v="339"/>
    <n v="24600000"/>
    <n v="189900"/>
    <n v="221400"/>
    <x v="466"/>
    <x v="1"/>
  </r>
  <r>
    <x v="478"/>
    <n v="490"/>
    <x v="53"/>
    <x v="328"/>
    <x v="19"/>
    <s v="373K"/>
    <x v="340"/>
    <n v="11400000"/>
    <n v="373000"/>
    <n v="482600"/>
    <x v="467"/>
    <x v="1"/>
  </r>
  <r>
    <x v="479"/>
    <n v="491"/>
    <x v="99"/>
    <x v="329"/>
    <x v="3"/>
    <s v="255.6K"/>
    <x v="341"/>
    <n v="11700000"/>
    <n v="255600"/>
    <n v="470900"/>
    <x v="468"/>
    <x v="1"/>
  </r>
  <r>
    <x v="480"/>
    <n v="492"/>
    <x v="8"/>
    <x v="127"/>
    <x v="0"/>
    <s v="85.7K"/>
    <x v="342"/>
    <n v="53000000"/>
    <n v="85700"/>
    <n v="103000"/>
    <x v="469"/>
    <x v="2"/>
  </r>
  <r>
    <x v="481"/>
    <n v="493"/>
    <x v="0"/>
    <x v="208"/>
    <x v="14"/>
    <s v="390.5K"/>
    <x v="343"/>
    <n v="9400000"/>
    <n v="390500"/>
    <n v="588000"/>
    <x v="470"/>
    <x v="3"/>
  </r>
  <r>
    <x v="482"/>
    <n v="494"/>
    <x v="100"/>
    <x v="330"/>
    <x v="9"/>
    <s v="368.5K"/>
    <x v="344"/>
    <n v="8600000"/>
    <n v="368500"/>
    <n v="638000"/>
    <x v="471"/>
    <x v="3"/>
  </r>
  <r>
    <x v="483"/>
    <n v="495"/>
    <x v="0"/>
    <x v="330"/>
    <x v="20"/>
    <s v="362.9K"/>
    <x v="345"/>
    <n v="8600000"/>
    <n v="362900"/>
    <n v="634000"/>
    <x v="472"/>
    <x v="3"/>
  </r>
  <r>
    <x v="484"/>
    <n v="496"/>
    <x v="71"/>
    <x v="116"/>
    <x v="3"/>
    <s v="195.5K"/>
    <x v="346"/>
    <n v="19000000"/>
    <n v="195500"/>
    <n v="280300"/>
    <x v="473"/>
    <x v="1"/>
  </r>
  <r>
    <x v="485"/>
    <n v="497"/>
    <x v="101"/>
    <x v="230"/>
    <x v="4"/>
    <s v="297.5K"/>
    <x v="347"/>
    <n v="14200000"/>
    <n v="297500"/>
    <n v="373300"/>
    <x v="474"/>
    <x v="1"/>
  </r>
  <r>
    <x v="486"/>
    <n v="498"/>
    <x v="70"/>
    <x v="214"/>
    <x v="2"/>
    <s v="488.2K"/>
    <x v="348"/>
    <n v="6300000"/>
    <n v="488200"/>
    <n v="859000"/>
    <x v="475"/>
    <x v="3"/>
  </r>
  <r>
    <x v="487"/>
    <n v="499"/>
    <x v="50"/>
    <x v="254"/>
    <x v="3"/>
    <s v="274.8K"/>
    <x v="349"/>
    <n v="12800000"/>
    <n v="274800"/>
    <n v="412700"/>
    <x v="476"/>
    <x v="1"/>
  </r>
  <r>
    <x v="488"/>
    <n v="500"/>
    <x v="0"/>
    <x v="331"/>
    <x v="22"/>
    <s v="109.2K"/>
    <x v="350"/>
    <n v="33299999.999999996"/>
    <n v="109200"/>
    <n v="159400"/>
    <x v="477"/>
    <x v="1"/>
  </r>
  <r>
    <x v="489"/>
    <n v="501"/>
    <x v="3"/>
    <x v="99"/>
    <x v="4"/>
    <s v="316.6K"/>
    <x v="351"/>
    <n v="14300000"/>
    <n v="316600"/>
    <n v="374600"/>
    <x v="478"/>
    <x v="1"/>
  </r>
  <r>
    <x v="490"/>
    <n v="502"/>
    <x v="16"/>
    <x v="169"/>
    <x v="4"/>
    <s v="393.9K"/>
    <x v="352"/>
    <n v="10300000"/>
    <n v="393900"/>
    <n v="510700"/>
    <x v="479"/>
    <x v="1"/>
  </r>
  <r>
    <x v="491"/>
    <n v="503"/>
    <x v="9"/>
    <x v="175"/>
    <x v="3"/>
    <s v="137.5K"/>
    <x v="353"/>
    <n v="25700000"/>
    <n v="137500"/>
    <n v="207400"/>
    <x v="480"/>
    <x v="1"/>
  </r>
  <r>
    <x v="492"/>
    <n v="504"/>
    <x v="0"/>
    <x v="183"/>
    <x v="0"/>
    <s v="366.1K"/>
    <x v="354"/>
    <n v="12300000"/>
    <n v="366100"/>
    <n v="427100"/>
    <x v="481"/>
    <x v="1"/>
  </r>
  <r>
    <x v="493"/>
    <n v="505"/>
    <x v="102"/>
    <x v="213"/>
    <x v="14"/>
    <s v="231.4K"/>
    <x v="355"/>
    <n v="15200000"/>
    <n v="231400"/>
    <n v="366400"/>
    <x v="482"/>
    <x v="1"/>
  </r>
  <r>
    <x v="494"/>
    <n v="506"/>
    <x v="103"/>
    <x v="316"/>
    <x v="2"/>
    <s v="556.4K"/>
    <x v="356"/>
    <n v="7100000"/>
    <n v="556400"/>
    <n v="744300"/>
    <x v="483"/>
    <x v="3"/>
  </r>
  <r>
    <x v="495"/>
    <n v="507"/>
    <x v="49"/>
    <x v="256"/>
    <x v="0"/>
    <s v="245.3K"/>
    <x v="357"/>
    <n v="18400000"/>
    <n v="245300"/>
    <n v="283600"/>
    <x v="484"/>
    <x v="1"/>
  </r>
  <r>
    <x v="496"/>
    <n v="508"/>
    <x v="8"/>
    <x v="332"/>
    <x v="0"/>
    <s v="145.7K"/>
    <x v="358"/>
    <n v="29300000"/>
    <n v="145700"/>
    <n v="177900"/>
    <x v="485"/>
    <x v="1"/>
  </r>
  <r>
    <x v="497"/>
    <n v="509"/>
    <x v="8"/>
    <x v="232"/>
    <x v="2"/>
    <s v="275.9K"/>
    <x v="359"/>
    <n v="13100000"/>
    <n v="275900"/>
    <n v="391800"/>
    <x v="486"/>
    <x v="1"/>
  </r>
  <r>
    <x v="498"/>
    <n v="510"/>
    <x v="0"/>
    <x v="333"/>
    <x v="12"/>
    <s v="142.1K"/>
    <x v="360"/>
    <n v="24900000"/>
    <n v="142100"/>
    <n v="205900"/>
    <x v="487"/>
    <x v="1"/>
  </r>
  <r>
    <x v="499"/>
    <n v="511"/>
    <x v="3"/>
    <x v="334"/>
    <x v="4"/>
    <s v="528.2K"/>
    <x v="361"/>
    <n v="8800000"/>
    <n v="528200"/>
    <n v="585100"/>
    <x v="488"/>
    <x v="3"/>
  </r>
  <r>
    <x v="500"/>
    <n v="512"/>
    <x v="9"/>
    <x v="192"/>
    <x v="3"/>
    <s v="116.9K"/>
    <x v="362"/>
    <n v="19800000"/>
    <n v="116900"/>
    <n v="258700"/>
    <x v="489"/>
    <x v="1"/>
  </r>
  <r>
    <x v="501"/>
    <n v="513"/>
    <x v="9"/>
    <x v="335"/>
    <x v="5"/>
    <s v="1.2M"/>
    <x v="17"/>
    <n v="3700000"/>
    <n v="1200000"/>
    <n v="1400000"/>
    <x v="490"/>
    <x v="3"/>
  </r>
  <r>
    <x v="502"/>
    <n v="514"/>
    <x v="94"/>
    <x v="203"/>
    <x v="7"/>
    <s v="149.1K"/>
    <x v="363"/>
    <n v="23500000"/>
    <n v="149100"/>
    <n v="215100"/>
    <x v="491"/>
    <x v="1"/>
  </r>
  <r>
    <x v="503"/>
    <n v="515"/>
    <x v="9"/>
    <x v="84"/>
    <x v="3"/>
    <s v="164.7K"/>
    <x v="364"/>
    <n v="14400000"/>
    <n v="164700"/>
    <n v="352900"/>
    <x v="492"/>
    <x v="1"/>
  </r>
  <r>
    <x v="504"/>
    <n v="516"/>
    <x v="104"/>
    <x v="336"/>
    <x v="4"/>
    <s v="87.3K"/>
    <x v="365"/>
    <n v="47400000"/>
    <n v="87300"/>
    <n v="107200"/>
    <x v="493"/>
    <x v="1"/>
  </r>
  <r>
    <x v="505"/>
    <n v="517"/>
    <x v="52"/>
    <x v="337"/>
    <x v="11"/>
    <s v="73.6K"/>
    <x v="366"/>
    <n v="46900000"/>
    <n v="73600"/>
    <n v="108600"/>
    <x v="494"/>
    <x v="1"/>
  </r>
  <r>
    <x v="506"/>
    <n v="518"/>
    <x v="40"/>
    <x v="338"/>
    <x v="2"/>
    <s v="165.2K"/>
    <x v="367"/>
    <n v="25900000"/>
    <n v="165200"/>
    <n v="195400"/>
    <x v="495"/>
    <x v="1"/>
  </r>
  <r>
    <x v="507"/>
    <n v="519"/>
    <x v="47"/>
    <x v="168"/>
    <x v="3"/>
    <s v="372.2K"/>
    <x v="368"/>
    <n v="10700000"/>
    <n v="372200"/>
    <n v="474100"/>
    <x v="496"/>
    <x v="1"/>
  </r>
  <r>
    <x v="508"/>
    <n v="520"/>
    <x v="50"/>
    <x v="339"/>
    <x v="15"/>
    <s v="204.1K"/>
    <x v="369"/>
    <n v="20100000"/>
    <n v="204100"/>
    <n v="250700"/>
    <x v="497"/>
    <x v="1"/>
  </r>
  <r>
    <x v="509"/>
    <n v="521"/>
    <x v="8"/>
    <x v="340"/>
    <x v="2"/>
    <s v="351K"/>
    <x v="370"/>
    <n v="9200000"/>
    <n v="351000"/>
    <n v="551100"/>
    <x v="498"/>
    <x v="3"/>
  </r>
  <r>
    <x v="510"/>
    <n v="522"/>
    <x v="3"/>
    <x v="210"/>
    <x v="3"/>
    <s v="213.2K"/>
    <x v="371"/>
    <n v="12900000"/>
    <n v="213200"/>
    <n v="386600"/>
    <x v="499"/>
    <x v="1"/>
  </r>
  <r>
    <x v="511"/>
    <n v="523"/>
    <x v="105"/>
    <x v="334"/>
    <x v="15"/>
    <s v="424.6K"/>
    <x v="372"/>
    <n v="8800000"/>
    <n v="424600"/>
    <n v="577900"/>
    <x v="500"/>
    <x v="3"/>
  </r>
  <r>
    <x v="512"/>
    <n v="524"/>
    <x v="3"/>
    <x v="295"/>
    <x v="1"/>
    <s v="485.7K"/>
    <x v="373"/>
    <n v="7900000"/>
    <n v="485700"/>
    <n v="640400"/>
    <x v="501"/>
    <x v="3"/>
  </r>
  <r>
    <x v="513"/>
    <n v="525"/>
    <x v="3"/>
    <x v="174"/>
    <x v="2"/>
    <s v="210.6K"/>
    <x v="374"/>
    <n v="13500000"/>
    <n v="210600"/>
    <n v="370600"/>
    <x v="502"/>
    <x v="1"/>
  </r>
  <r>
    <x v="514"/>
    <n v="526"/>
    <x v="8"/>
    <x v="136"/>
    <x v="0"/>
    <s v="141.4K"/>
    <x v="375"/>
    <n v="30700000"/>
    <n v="141400"/>
    <n v="162600"/>
    <x v="503"/>
    <x v="1"/>
  </r>
  <r>
    <x v="515"/>
    <n v="527"/>
    <x v="3"/>
    <x v="252"/>
    <x v="2"/>
    <s v="501.7K"/>
    <x v="376"/>
    <n v="7300000"/>
    <n v="501700"/>
    <n v="694600"/>
    <x v="504"/>
    <x v="3"/>
  </r>
  <r>
    <x v="516"/>
    <n v="528"/>
    <x v="106"/>
    <x v="341"/>
    <x v="3"/>
    <s v="58.9K"/>
    <x v="377"/>
    <n v="53600000"/>
    <n v="58900"/>
    <n v="93300"/>
    <x v="505"/>
    <x v="2"/>
  </r>
  <r>
    <x v="517"/>
    <n v="529"/>
    <x v="8"/>
    <x v="203"/>
    <x v="3"/>
    <s v="112.1K"/>
    <x v="378"/>
    <n v="23500000"/>
    <n v="112100"/>
    <n v="210600"/>
    <x v="506"/>
    <x v="1"/>
  </r>
  <r>
    <x v="518"/>
    <n v="530"/>
    <x v="0"/>
    <x v="317"/>
    <x v="3"/>
    <s v="417.3K"/>
    <x v="379"/>
    <n v="7400000"/>
    <n v="417300"/>
    <n v="678800"/>
    <x v="507"/>
    <x v="3"/>
  </r>
  <r>
    <x v="519"/>
    <n v="531"/>
    <x v="3"/>
    <x v="102"/>
    <x v="23"/>
    <s v="148.4K"/>
    <x v="380"/>
    <n v="24600000"/>
    <n v="148400"/>
    <n v="206500"/>
    <x v="508"/>
    <x v="1"/>
  </r>
  <r>
    <x v="520"/>
    <n v="532"/>
    <x v="8"/>
    <x v="342"/>
    <x v="2"/>
    <s v="74.3K"/>
    <x v="381"/>
    <n v="54200000"/>
    <n v="74300"/>
    <n v="91100"/>
    <x v="509"/>
    <x v="2"/>
  </r>
  <r>
    <x v="521"/>
    <n v="533"/>
    <x v="107"/>
    <x v="257"/>
    <x v="16"/>
    <s v="233.7K"/>
    <x v="382"/>
    <n v="17300000"/>
    <n v="233700"/>
    <n v="282100"/>
    <x v="510"/>
    <x v="1"/>
  </r>
  <r>
    <x v="522"/>
    <n v="534"/>
    <x v="8"/>
    <x v="343"/>
    <x v="2"/>
    <s v="173.9K"/>
    <x v="383"/>
    <n v="21100000"/>
    <n v="173900"/>
    <n v="232300"/>
    <x v="511"/>
    <x v="1"/>
  </r>
  <r>
    <x v="523"/>
    <n v="535"/>
    <x v="3"/>
    <x v="224"/>
    <x v="23"/>
    <s v="175.2K"/>
    <x v="384"/>
    <n v="14900000"/>
    <n v="175200"/>
    <n v="340900"/>
    <x v="512"/>
    <x v="1"/>
  </r>
  <r>
    <x v="524"/>
    <n v="536"/>
    <x v="0"/>
    <x v="193"/>
    <x v="2"/>
    <s v="269.7K"/>
    <x v="385"/>
    <n v="9000000"/>
    <n v="269700"/>
    <n v="548100"/>
    <x v="513"/>
    <x v="3"/>
  </r>
  <r>
    <x v="525"/>
    <n v="537"/>
    <x v="61"/>
    <x v="235"/>
    <x v="6"/>
    <s v="581.1K"/>
    <x v="386"/>
    <n v="5800000"/>
    <n v="581100"/>
    <n v="839200"/>
    <x v="514"/>
    <x v="3"/>
  </r>
  <r>
    <x v="526"/>
    <n v="538"/>
    <x v="39"/>
    <x v="91"/>
    <x v="3"/>
    <s v="117.5K"/>
    <x v="387"/>
    <n v="20000000"/>
    <n v="117500"/>
    <n v="242600"/>
    <x v="515"/>
    <x v="1"/>
  </r>
  <r>
    <x v="527"/>
    <n v="539"/>
    <x v="91"/>
    <x v="330"/>
    <x v="15"/>
    <s v="400.1K"/>
    <x v="388"/>
    <n v="8600000"/>
    <n v="400100"/>
    <n v="569100"/>
    <x v="516"/>
    <x v="3"/>
  </r>
  <r>
    <x v="528"/>
    <n v="540"/>
    <x v="51"/>
    <x v="254"/>
    <x v="3"/>
    <s v="137.6K"/>
    <x v="389"/>
    <n v="12800000"/>
    <n v="137600"/>
    <n v="377300"/>
    <x v="517"/>
    <x v="1"/>
  </r>
  <r>
    <x v="529"/>
    <n v="541"/>
    <x v="3"/>
    <x v="173"/>
    <x v="2"/>
    <s v="135.8K"/>
    <x v="390"/>
    <n v="21400000"/>
    <n v="135800"/>
    <n v="222600"/>
    <x v="518"/>
    <x v="1"/>
  </r>
  <r>
    <x v="530"/>
    <n v="543"/>
    <x v="61"/>
    <x v="198"/>
    <x v="7"/>
    <s v="216.8K"/>
    <x v="391"/>
    <n v="15100000"/>
    <n v="216800"/>
    <n v="313800"/>
    <x v="519"/>
    <x v="1"/>
  </r>
  <r>
    <x v="531"/>
    <n v="544"/>
    <x v="3"/>
    <x v="211"/>
    <x v="4"/>
    <s v="558.5K"/>
    <x v="392"/>
    <n v="7600000"/>
    <n v="558500"/>
    <n v="630300"/>
    <x v="520"/>
    <x v="3"/>
  </r>
  <r>
    <x v="532"/>
    <n v="545"/>
    <x v="61"/>
    <x v="344"/>
    <x v="17"/>
    <n v="0"/>
    <x v="103"/>
    <m/>
    <m/>
    <m/>
    <x v="200"/>
    <x v="4"/>
  </r>
  <r>
    <x v="533"/>
    <n v="546"/>
    <x v="50"/>
    <x v="129"/>
    <x v="3"/>
    <s v="87.8K"/>
    <x v="393"/>
    <n v="31800000"/>
    <n v="87800"/>
    <n v="149400"/>
    <x v="521"/>
    <x v="1"/>
  </r>
  <r>
    <x v="534"/>
    <n v="547"/>
    <x v="108"/>
    <x v="256"/>
    <x v="4"/>
    <s v="169K"/>
    <x v="394"/>
    <n v="18400000"/>
    <n v="169000"/>
    <n v="257100.00000000003"/>
    <x v="522"/>
    <x v="1"/>
  </r>
  <r>
    <x v="535"/>
    <n v="548"/>
    <x v="109"/>
    <x v="59"/>
    <x v="2"/>
    <s v="142.1K"/>
    <x v="395"/>
    <n v="24700000"/>
    <n v="142100"/>
    <n v="190600"/>
    <x v="523"/>
    <x v="1"/>
  </r>
  <r>
    <x v="536"/>
    <n v="549"/>
    <x v="9"/>
    <x v="296"/>
    <x v="3"/>
    <s v="216.4K"/>
    <x v="396"/>
    <n v="13200000"/>
    <n v="216400"/>
    <n v="358500"/>
    <x v="524"/>
    <x v="1"/>
  </r>
  <r>
    <x v="537"/>
    <n v="550"/>
    <x v="19"/>
    <x v="304"/>
    <x v="2"/>
    <s v="461.9K"/>
    <x v="397"/>
    <n v="6700000"/>
    <n v="461900"/>
    <n v="707100"/>
    <x v="525"/>
    <x v="3"/>
  </r>
  <r>
    <x v="538"/>
    <n v="552"/>
    <x v="8"/>
    <x v="235"/>
    <x v="3"/>
    <s v="555.7K"/>
    <x v="398"/>
    <n v="5800000"/>
    <n v="555700"/>
    <n v="812700"/>
    <x v="526"/>
    <x v="3"/>
  </r>
  <r>
    <x v="539"/>
    <n v="553"/>
    <x v="62"/>
    <x v="345"/>
    <x v="2"/>
    <s v="613.7K"/>
    <x v="399"/>
    <n v="5200000"/>
    <n v="613700"/>
    <n v="906700"/>
    <x v="527"/>
    <x v="3"/>
  </r>
  <r>
    <x v="540"/>
    <n v="554"/>
    <x v="8"/>
    <x v="339"/>
    <x v="2"/>
    <s v="173.4K"/>
    <x v="400"/>
    <n v="20100000"/>
    <n v="173400"/>
    <n v="231500"/>
    <x v="528"/>
    <x v="1"/>
  </r>
  <r>
    <x v="541"/>
    <n v="555"/>
    <x v="19"/>
    <x v="339"/>
    <x v="3"/>
    <s v="119.7K"/>
    <x v="401"/>
    <n v="20100000"/>
    <n v="119700"/>
    <n v="230500"/>
    <x v="529"/>
    <x v="1"/>
  </r>
  <r>
    <x v="542"/>
    <n v="556"/>
    <x v="0"/>
    <x v="69"/>
    <x v="3"/>
    <s v="116.6K"/>
    <x v="402"/>
    <n v="23000000"/>
    <n v="116600"/>
    <n v="201900"/>
    <x v="530"/>
    <x v="1"/>
  </r>
  <r>
    <x v="543"/>
    <n v="557"/>
    <x v="110"/>
    <x v="283"/>
    <x v="3"/>
    <s v="161.7K"/>
    <x v="403"/>
    <n v="19400000"/>
    <n v="161700"/>
    <n v="240100"/>
    <x v="531"/>
    <x v="1"/>
  </r>
  <r>
    <x v="544"/>
    <n v="558"/>
    <x v="0"/>
    <x v="309"/>
    <x v="20"/>
    <s v="82.3K"/>
    <x v="404"/>
    <n v="39500000"/>
    <n v="82300"/>
    <n v="116700"/>
    <x v="532"/>
    <x v="1"/>
  </r>
  <r>
    <x v="545"/>
    <n v="559"/>
    <x v="8"/>
    <x v="176"/>
    <x v="0"/>
    <s v="274K"/>
    <x v="405"/>
    <n v="14600000"/>
    <n v="274000"/>
    <n v="315200"/>
    <x v="533"/>
    <x v="1"/>
  </r>
  <r>
    <x v="546"/>
    <n v="560"/>
    <x v="0"/>
    <x v="254"/>
    <x v="20"/>
    <s v="227.9K"/>
    <x v="406"/>
    <n v="12800000"/>
    <n v="227900"/>
    <n v="360500"/>
    <x v="534"/>
    <x v="1"/>
  </r>
  <r>
    <x v="547"/>
    <n v="561"/>
    <x v="8"/>
    <x v="275"/>
    <x v="14"/>
    <s v="266.4K"/>
    <x v="407"/>
    <n v="13400000"/>
    <n v="266400"/>
    <n v="343300"/>
    <x v="535"/>
    <x v="1"/>
  </r>
  <r>
    <x v="548"/>
    <n v="562"/>
    <x v="65"/>
    <x v="124"/>
    <x v="2"/>
    <s v="212.2K"/>
    <x v="408"/>
    <n v="16800000"/>
    <n v="212200"/>
    <n v="274000"/>
    <x v="536"/>
    <x v="1"/>
  </r>
  <r>
    <x v="549"/>
    <n v="563"/>
    <x v="9"/>
    <x v="346"/>
    <x v="0"/>
    <s v="567.2K"/>
    <x v="409"/>
    <n v="6100000"/>
    <n v="567200"/>
    <n v="759900"/>
    <x v="537"/>
    <x v="3"/>
  </r>
  <r>
    <x v="550"/>
    <n v="564"/>
    <x v="0"/>
    <x v="255"/>
    <x v="2"/>
    <s v="178.9K"/>
    <x v="410"/>
    <n v="16900000"/>
    <n v="178900"/>
    <n v="271300"/>
    <x v="538"/>
    <x v="1"/>
  </r>
  <r>
    <x v="551"/>
    <n v="565"/>
    <x v="7"/>
    <x v="295"/>
    <x v="8"/>
    <s v="499.4K"/>
    <x v="411"/>
    <n v="7900000"/>
    <n v="499400"/>
    <n v="584200"/>
    <x v="539"/>
    <x v="3"/>
  </r>
  <r>
    <x v="552"/>
    <n v="566"/>
    <x v="8"/>
    <x v="290"/>
    <x v="0"/>
    <s v="731.7K"/>
    <x v="412"/>
    <n v="4900000"/>
    <n v="731700"/>
    <n v="949400"/>
    <x v="540"/>
    <x v="3"/>
  </r>
  <r>
    <x v="553"/>
    <n v="567"/>
    <x v="0"/>
    <x v="347"/>
    <x v="12"/>
    <s v="100.5K"/>
    <x v="413"/>
    <n v="26700000"/>
    <n v="100500"/>
    <n v="169500"/>
    <x v="541"/>
    <x v="1"/>
  </r>
  <r>
    <x v="554"/>
    <n v="568"/>
    <x v="28"/>
    <x v="348"/>
    <x v="2"/>
    <s v="481K"/>
    <x v="414"/>
    <n v="7000000"/>
    <n v="481000"/>
    <n v="651700"/>
    <x v="542"/>
    <x v="3"/>
  </r>
  <r>
    <x v="555"/>
    <n v="569"/>
    <x v="0"/>
    <x v="211"/>
    <x v="20"/>
    <s v="408.4K"/>
    <x v="415"/>
    <n v="7600000"/>
    <n v="408400"/>
    <n v="598300"/>
    <x v="543"/>
    <x v="3"/>
  </r>
  <r>
    <x v="556"/>
    <n v="570"/>
    <x v="9"/>
    <x v="304"/>
    <x v="2"/>
    <s v="362.4K"/>
    <x v="416"/>
    <n v="6700000"/>
    <n v="362400"/>
    <n v="678600"/>
    <x v="544"/>
    <x v="3"/>
  </r>
  <r>
    <x v="557"/>
    <n v="571"/>
    <x v="28"/>
    <x v="304"/>
    <x v="2"/>
    <s v="360.7K"/>
    <x v="417"/>
    <n v="6700000"/>
    <n v="360700"/>
    <n v="673900"/>
    <x v="545"/>
    <x v="3"/>
  </r>
  <r>
    <x v="558"/>
    <n v="572"/>
    <x v="71"/>
    <x v="319"/>
    <x v="2"/>
    <s v="144.7K"/>
    <x v="418"/>
    <n v="22700000"/>
    <n v="144700"/>
    <n v="196800"/>
    <x v="546"/>
    <x v="1"/>
  </r>
  <r>
    <x v="559"/>
    <n v="573"/>
    <x v="52"/>
    <x v="193"/>
    <x v="2"/>
    <s v="407.2K"/>
    <x v="419"/>
    <n v="9000000"/>
    <n v="407200"/>
    <n v="497200"/>
    <x v="547"/>
    <x v="3"/>
  </r>
  <r>
    <x v="560"/>
    <n v="574"/>
    <x v="73"/>
    <x v="247"/>
    <x v="2"/>
    <s v="373K"/>
    <x v="420"/>
    <n v="8400000"/>
    <n v="373000"/>
    <n v="532600"/>
    <x v="548"/>
    <x v="3"/>
  </r>
  <r>
    <x v="561"/>
    <n v="575"/>
    <x v="16"/>
    <x v="315"/>
    <x v="2"/>
    <s v="330.5K"/>
    <x v="421"/>
    <n v="9500000"/>
    <n v="330500"/>
    <n v="470700"/>
    <x v="549"/>
    <x v="3"/>
  </r>
  <r>
    <x v="562"/>
    <n v="576"/>
    <x v="0"/>
    <x v="297"/>
    <x v="0"/>
    <s v="621.3K"/>
    <x v="422"/>
    <n v="6200000"/>
    <n v="621300"/>
    <n v="720200"/>
    <x v="550"/>
    <x v="3"/>
  </r>
  <r>
    <x v="563"/>
    <n v="577"/>
    <x v="3"/>
    <x v="141"/>
    <x v="0"/>
    <s v="160.2K"/>
    <x v="423"/>
    <n v="24400000"/>
    <n v="160200"/>
    <n v="180300"/>
    <x v="551"/>
    <x v="1"/>
  </r>
  <r>
    <x v="564"/>
    <n v="578"/>
    <x v="0"/>
    <x v="263"/>
    <x v="24"/>
    <s v="304.1K"/>
    <x v="424"/>
    <n v="9900000"/>
    <n v="304100"/>
    <n v="446800"/>
    <x v="552"/>
    <x v="3"/>
  </r>
  <r>
    <x v="565"/>
    <n v="579"/>
    <x v="65"/>
    <x v="247"/>
    <x v="3"/>
    <s v="214.9K"/>
    <x v="425"/>
    <n v="8400000"/>
    <n v="214900"/>
    <n v="549800"/>
    <x v="553"/>
    <x v="3"/>
  </r>
  <r>
    <x v="566"/>
    <n v="580"/>
    <x v="3"/>
    <x v="290"/>
    <x v="4"/>
    <s v="721.9K"/>
    <x v="426"/>
    <n v="4900000"/>
    <n v="721900"/>
    <n v="910300"/>
    <x v="554"/>
    <x v="3"/>
  </r>
  <r>
    <x v="567"/>
    <n v="581"/>
    <x v="92"/>
    <x v="349"/>
    <x v="0"/>
    <s v="289.8K"/>
    <x v="427"/>
    <n v="11300000"/>
    <n v="289800"/>
    <n v="383000"/>
    <x v="555"/>
    <x v="1"/>
  </r>
  <r>
    <x v="568"/>
    <n v="582"/>
    <x v="111"/>
    <x v="180"/>
    <x v="4"/>
    <s v="429.8K"/>
    <x v="428"/>
    <n v="6900000"/>
    <n v="429800"/>
    <n v="630400"/>
    <x v="556"/>
    <x v="3"/>
  </r>
  <r>
    <x v="569"/>
    <n v="583"/>
    <x v="3"/>
    <x v="350"/>
    <x v="4"/>
    <s v="863.9K"/>
    <x v="30"/>
    <n v="3900000"/>
    <n v="863900"/>
    <n v="1100000"/>
    <x v="557"/>
    <x v="3"/>
  </r>
  <r>
    <x v="570"/>
    <n v="584"/>
    <x v="8"/>
    <x v="351"/>
    <x v="0"/>
    <s v="320.2K"/>
    <x v="429"/>
    <n v="10400000"/>
    <n v="320200"/>
    <n v="408700"/>
    <x v="558"/>
    <x v="1"/>
  </r>
  <r>
    <x v="571"/>
    <n v="585"/>
    <x v="3"/>
    <x v="308"/>
    <x v="1"/>
    <s v="379.6K"/>
    <x v="430"/>
    <n v="6000000"/>
    <n v="379600"/>
    <n v="714300"/>
    <x v="559"/>
    <x v="3"/>
  </r>
  <r>
    <x v="572"/>
    <n v="586"/>
    <x v="8"/>
    <x v="211"/>
    <x v="4"/>
    <s v="428K"/>
    <x v="431"/>
    <n v="7600000"/>
    <n v="428000"/>
    <n v="563400"/>
    <x v="560"/>
    <x v="3"/>
  </r>
  <r>
    <x v="573"/>
    <n v="587"/>
    <x v="62"/>
    <x v="351"/>
    <x v="2"/>
    <s v="355.4K"/>
    <x v="432"/>
    <n v="10400000"/>
    <n v="355400"/>
    <n v="404700"/>
    <x v="561"/>
    <x v="1"/>
  </r>
  <r>
    <x v="574"/>
    <n v="588"/>
    <x v="21"/>
    <x v="271"/>
    <x v="3"/>
    <s v="151.6K"/>
    <x v="433"/>
    <n v="20200000"/>
    <n v="151600"/>
    <n v="213100"/>
    <x v="562"/>
    <x v="1"/>
  </r>
  <r>
    <x v="575"/>
    <n v="589"/>
    <x v="84"/>
    <x v="74"/>
    <x v="2"/>
    <s v="135K"/>
    <x v="434"/>
    <n v="23300000"/>
    <n v="135000"/>
    <n v="179700"/>
    <x v="563"/>
    <x v="1"/>
  </r>
  <r>
    <x v="576"/>
    <n v="590"/>
    <x v="49"/>
    <x v="210"/>
    <x v="2"/>
    <s v="223.3K"/>
    <x v="435"/>
    <n v="12900000"/>
    <n v="223300"/>
    <n v="324200"/>
    <x v="564"/>
    <x v="1"/>
  </r>
  <r>
    <x v="577"/>
    <n v="591"/>
    <x v="3"/>
    <x v="264"/>
    <x v="2"/>
    <s v="201.4K"/>
    <x v="436"/>
    <n v="11600000"/>
    <n v="201400"/>
    <n v="361200"/>
    <x v="565"/>
    <x v="1"/>
  </r>
  <r>
    <x v="578"/>
    <n v="592"/>
    <x v="0"/>
    <x v="183"/>
    <x v="20"/>
    <s v="238.5K"/>
    <x v="437"/>
    <n v="12300000"/>
    <n v="238500"/>
    <n v="338600"/>
    <x v="566"/>
    <x v="1"/>
  </r>
  <r>
    <x v="579"/>
    <n v="593"/>
    <x v="0"/>
    <x v="352"/>
    <x v="12"/>
    <s v="262.4K"/>
    <x v="438"/>
    <n v="10600000"/>
    <n v="262400"/>
    <n v="393900"/>
    <x v="567"/>
    <x v="1"/>
  </r>
  <r>
    <x v="580"/>
    <n v="594"/>
    <x v="9"/>
    <x v="302"/>
    <x v="6"/>
    <s v="525.7K"/>
    <x v="439"/>
    <n v="6400000"/>
    <n v="525700"/>
    <n v="660200"/>
    <x v="568"/>
    <x v="3"/>
  </r>
  <r>
    <x v="581"/>
    <n v="595"/>
    <x v="112"/>
    <x v="82"/>
    <x v="2"/>
    <s v="95.7K"/>
    <x v="440"/>
    <n v="32299999.999999996"/>
    <n v="95700"/>
    <n v="129199.99999999999"/>
    <x v="569"/>
    <x v="1"/>
  </r>
  <r>
    <x v="582"/>
    <n v="596"/>
    <x v="3"/>
    <x v="353"/>
    <x v="17"/>
    <n v="0"/>
    <x v="103"/>
    <m/>
    <m/>
    <m/>
    <x v="200"/>
    <x v="4"/>
  </r>
  <r>
    <x v="583"/>
    <n v="597"/>
    <x v="8"/>
    <x v="330"/>
    <x v="0"/>
    <s v="434.2K"/>
    <x v="441"/>
    <n v="8600000"/>
    <n v="434200"/>
    <n v="486000"/>
    <x v="570"/>
    <x v="3"/>
  </r>
  <r>
    <x v="584"/>
    <n v="598"/>
    <x v="98"/>
    <x v="157"/>
    <x v="2"/>
    <s v="160.8K"/>
    <x v="442"/>
    <n v="18900000"/>
    <n v="160800"/>
    <n v="216900"/>
    <x v="571"/>
    <x v="1"/>
  </r>
  <r>
    <x v="585"/>
    <n v="599"/>
    <x v="8"/>
    <x v="93"/>
    <x v="2"/>
    <s v="336.9K"/>
    <x v="443"/>
    <n v="9600000"/>
    <n v="336900"/>
    <n v="438300"/>
    <x v="572"/>
    <x v="3"/>
  </r>
  <r>
    <x v="586"/>
    <n v="600"/>
    <x v="3"/>
    <x v="180"/>
    <x v="3"/>
    <s v="463.3K"/>
    <x v="444"/>
    <n v="6900000"/>
    <n v="463300"/>
    <n v="607300"/>
    <x v="573"/>
    <x v="3"/>
  </r>
  <r>
    <x v="587"/>
    <n v="603"/>
    <x v="8"/>
    <x v="305"/>
    <x v="6"/>
    <s v="688.6K"/>
    <x v="445"/>
    <n v="5400000"/>
    <n v="688600"/>
    <n v="771800"/>
    <x v="574"/>
    <x v="3"/>
  </r>
  <r>
    <x v="588"/>
    <n v="604"/>
    <x v="61"/>
    <x v="295"/>
    <x v="3"/>
    <s v="387.2K"/>
    <x v="446"/>
    <n v="7900000"/>
    <n v="387200"/>
    <n v="528600"/>
    <x v="575"/>
    <x v="3"/>
  </r>
  <r>
    <x v="589"/>
    <n v="605"/>
    <x v="3"/>
    <x v="275"/>
    <x v="4"/>
    <s v="269.6K"/>
    <x v="447"/>
    <n v="13400000"/>
    <n v="269600"/>
    <n v="304700"/>
    <x v="576"/>
    <x v="1"/>
  </r>
  <r>
    <x v="590"/>
    <n v="606"/>
    <x v="8"/>
    <x v="160"/>
    <x v="2"/>
    <s v="318.5K"/>
    <x v="448"/>
    <n v="8500000"/>
    <n v="318500"/>
    <n v="483300"/>
    <x v="577"/>
    <x v="3"/>
  </r>
  <r>
    <x v="591"/>
    <n v="607"/>
    <x v="0"/>
    <x v="354"/>
    <x v="20"/>
    <s v="47.8K"/>
    <x v="449"/>
    <n v="57900000"/>
    <n v="47800"/>
    <n v="69800"/>
    <x v="578"/>
    <x v="2"/>
  </r>
  <r>
    <x v="592"/>
    <n v="608"/>
    <x v="74"/>
    <x v="317"/>
    <x v="2"/>
    <s v="324.5K"/>
    <x v="450"/>
    <n v="7400000"/>
    <n v="324500"/>
    <n v="558000"/>
    <x v="579"/>
    <x v="3"/>
  </r>
  <r>
    <x v="593"/>
    <n v="611"/>
    <x v="8"/>
    <x v="355"/>
    <x v="2"/>
    <s v="570.1K"/>
    <x v="451"/>
    <n v="4300000"/>
    <n v="570100"/>
    <n v="944600"/>
    <x v="580"/>
    <x v="3"/>
  </r>
  <r>
    <x v="594"/>
    <n v="612"/>
    <x v="0"/>
    <x v="356"/>
    <x v="22"/>
    <s v="85.8K"/>
    <x v="452"/>
    <n v="34200000"/>
    <n v="85800"/>
    <n v="117100"/>
    <x v="581"/>
    <x v="1"/>
  </r>
  <r>
    <x v="595"/>
    <n v="613"/>
    <x v="8"/>
    <x v="115"/>
    <x v="2"/>
    <s v="114.9K"/>
    <x v="453"/>
    <n v="23400000"/>
    <n v="114900"/>
    <n v="171000"/>
    <x v="582"/>
    <x v="1"/>
  </r>
  <r>
    <x v="596"/>
    <n v="614"/>
    <x v="8"/>
    <x v="346"/>
    <x v="4"/>
    <s v="495.5K"/>
    <x v="454"/>
    <n v="6100000"/>
    <n v="495500"/>
    <n v="666300"/>
    <x v="583"/>
    <x v="3"/>
  </r>
  <r>
    <x v="597"/>
    <n v="615"/>
    <x v="113"/>
    <x v="240"/>
    <x v="6"/>
    <s v="434.7K"/>
    <x v="455"/>
    <n v="8199999.9999999991"/>
    <n v="434700"/>
    <n v="485500"/>
    <x v="584"/>
    <x v="3"/>
  </r>
  <r>
    <x v="598"/>
    <n v="616"/>
    <x v="8"/>
    <x v="212"/>
    <x v="0"/>
    <s v="419.8K"/>
    <x v="456"/>
    <n v="8700000"/>
    <n v="419800"/>
    <n v="461900"/>
    <x v="585"/>
    <x v="3"/>
  </r>
  <r>
    <x v="599"/>
    <n v="618"/>
    <x v="3"/>
    <x v="305"/>
    <x v="2"/>
    <s v="428.6K"/>
    <x v="457"/>
    <n v="5400000"/>
    <n v="428600"/>
    <n v="745400"/>
    <x v="586"/>
    <x v="3"/>
  </r>
  <r>
    <x v="600"/>
    <n v="619"/>
    <x v="2"/>
    <x v="183"/>
    <x v="4"/>
    <s v="255.7K"/>
    <x v="458"/>
    <n v="12300000"/>
    <n v="255700"/>
    <n v="320300"/>
    <x v="587"/>
    <x v="1"/>
  </r>
  <r>
    <x v="601"/>
    <n v="620"/>
    <x v="0"/>
    <x v="357"/>
    <x v="0"/>
    <s v="48.4K"/>
    <x v="459"/>
    <n v="54000000"/>
    <n v="48400"/>
    <n v="72300"/>
    <x v="588"/>
    <x v="2"/>
  </r>
  <r>
    <x v="602"/>
    <n v="621"/>
    <x v="8"/>
    <x v="350"/>
    <x v="4"/>
    <s v="768.1K"/>
    <x v="103"/>
    <n v="3900000"/>
    <n v="768100"/>
    <n v="1000000"/>
    <x v="589"/>
    <x v="3"/>
  </r>
  <r>
    <x v="603"/>
    <n v="622"/>
    <x v="50"/>
    <x v="230"/>
    <x v="3"/>
    <s v="219.5K"/>
    <x v="460"/>
    <n v="14200000"/>
    <n v="219500"/>
    <n v="275900"/>
    <x v="590"/>
    <x v="1"/>
  </r>
  <r>
    <x v="604"/>
    <n v="623"/>
    <x v="114"/>
    <x v="348"/>
    <x v="3"/>
    <s v="228.5K"/>
    <x v="461"/>
    <n v="7000000"/>
    <n v="228500"/>
    <n v="574000"/>
    <x v="591"/>
    <x v="3"/>
  </r>
  <r>
    <x v="605"/>
    <n v="624"/>
    <x v="9"/>
    <x v="193"/>
    <x v="25"/>
    <s v="362K"/>
    <x v="462"/>
    <n v="9000000"/>
    <n v="362000"/>
    <n v="442000"/>
    <x v="592"/>
    <x v="3"/>
  </r>
  <r>
    <x v="606"/>
    <n v="625"/>
    <x v="3"/>
    <x v="306"/>
    <x v="2"/>
    <s v="125.7K"/>
    <x v="463"/>
    <n v="16399999.999999998"/>
    <n v="125700"/>
    <n v="236200"/>
    <x v="593"/>
    <x v="1"/>
  </r>
  <r>
    <x v="607"/>
    <n v="626"/>
    <x v="61"/>
    <x v="91"/>
    <x v="7"/>
    <s v="144.5K"/>
    <x v="464"/>
    <n v="20000000"/>
    <n v="144500"/>
    <n v="195200"/>
    <x v="594"/>
    <x v="1"/>
  </r>
  <r>
    <x v="608"/>
    <n v="627"/>
    <x v="3"/>
    <x v="214"/>
    <x v="2"/>
    <s v="511.3K"/>
    <x v="311"/>
    <n v="6300000"/>
    <n v="511300"/>
    <n v="624900"/>
    <x v="595"/>
    <x v="3"/>
  </r>
  <r>
    <x v="609"/>
    <n v="628"/>
    <x v="3"/>
    <x v="315"/>
    <x v="0"/>
    <s v="345K"/>
    <x v="465"/>
    <n v="9500000"/>
    <n v="345000"/>
    <n v="409900"/>
    <x v="596"/>
    <x v="3"/>
  </r>
  <r>
    <x v="610"/>
    <n v="629"/>
    <x v="115"/>
    <x v="208"/>
    <x v="0"/>
    <s v="333.6K"/>
    <x v="466"/>
    <n v="9400000"/>
    <n v="333600"/>
    <n v="415800"/>
    <x v="597"/>
    <x v="3"/>
  </r>
  <r>
    <x v="611"/>
    <n v="630"/>
    <x v="8"/>
    <x v="358"/>
    <x v="4"/>
    <s v="177K"/>
    <x v="467"/>
    <n v="14500000"/>
    <n v="177000"/>
    <n v="264800"/>
    <x v="598"/>
    <x v="1"/>
  </r>
  <r>
    <x v="612"/>
    <n v="631"/>
    <x v="61"/>
    <x v="352"/>
    <x v="2"/>
    <s v="163.7K"/>
    <x v="468"/>
    <n v="10600000"/>
    <n v="163700"/>
    <n v="360400"/>
    <x v="599"/>
    <x v="1"/>
  </r>
  <r>
    <x v="613"/>
    <n v="632"/>
    <x v="27"/>
    <x v="69"/>
    <x v="0"/>
    <s v="137.3K"/>
    <x v="469"/>
    <n v="23000000"/>
    <n v="137300"/>
    <n v="166800"/>
    <x v="600"/>
    <x v="1"/>
  </r>
  <r>
    <x v="614"/>
    <n v="633"/>
    <x v="48"/>
    <x v="192"/>
    <x v="9"/>
    <s v="150.8K"/>
    <x v="470"/>
    <n v="19800000"/>
    <n v="150800"/>
    <n v="191700"/>
    <x v="601"/>
    <x v="1"/>
  </r>
  <r>
    <x v="615"/>
    <n v="634"/>
    <x v="0"/>
    <x v="272"/>
    <x v="12"/>
    <s v="264.5K"/>
    <x v="471"/>
    <n v="10100000"/>
    <n v="264500"/>
    <n v="374900"/>
    <x v="602"/>
    <x v="1"/>
  </r>
  <r>
    <x v="616"/>
    <n v="635"/>
    <x v="3"/>
    <x v="272"/>
    <x v="21"/>
    <s v="258.5K"/>
    <x v="472"/>
    <n v="10100000"/>
    <n v="258500"/>
    <n v="378200"/>
    <x v="603"/>
    <x v="1"/>
  </r>
  <r>
    <x v="617"/>
    <n v="636"/>
    <x v="0"/>
    <x v="230"/>
    <x v="2"/>
    <s v="147.9K"/>
    <x v="473"/>
    <n v="14200000"/>
    <n v="147900"/>
    <n v="267100"/>
    <x v="604"/>
    <x v="1"/>
  </r>
  <r>
    <x v="618"/>
    <n v="637"/>
    <x v="9"/>
    <x v="137"/>
    <x v="3"/>
    <s v="167.8K"/>
    <x v="474"/>
    <n v="16000000"/>
    <n v="167800"/>
    <n v="237500"/>
    <x v="605"/>
    <x v="1"/>
  </r>
  <r>
    <x v="619"/>
    <n v="638"/>
    <x v="9"/>
    <x v="153"/>
    <x v="0"/>
    <s v="339.2K"/>
    <x v="475"/>
    <n v="9800000"/>
    <n v="339200"/>
    <n v="390100"/>
    <x v="606"/>
    <x v="3"/>
  </r>
  <r>
    <x v="620"/>
    <n v="639"/>
    <x v="46"/>
    <x v="290"/>
    <x v="2"/>
    <s v="471.4K"/>
    <x v="169"/>
    <n v="4900000"/>
    <n v="471400"/>
    <n v="780400"/>
    <x v="607"/>
    <x v="3"/>
  </r>
  <r>
    <x v="621"/>
    <n v="640"/>
    <x v="116"/>
    <x v="281"/>
    <x v="2"/>
    <s v="126.9K"/>
    <x v="476"/>
    <n v="19900000"/>
    <n v="126900"/>
    <n v="189400"/>
    <x v="608"/>
    <x v="1"/>
  </r>
  <r>
    <x v="622"/>
    <n v="641"/>
    <x v="22"/>
    <x v="214"/>
    <x v="3"/>
    <s v="380.7K"/>
    <x v="477"/>
    <n v="6300000"/>
    <n v="380700"/>
    <n v="603300"/>
    <x v="609"/>
    <x v="3"/>
  </r>
  <r>
    <x v="623"/>
    <n v="643"/>
    <x v="3"/>
    <x v="267"/>
    <x v="7"/>
    <s v="279.3K"/>
    <x v="478"/>
    <n v="11000000"/>
    <n v="279300"/>
    <n v="339900"/>
    <x v="610"/>
    <x v="1"/>
  </r>
  <r>
    <x v="624"/>
    <n v="644"/>
    <x v="73"/>
    <x v="320"/>
    <x v="0"/>
    <s v="234.2K"/>
    <x v="479"/>
    <n v="11500000"/>
    <n v="234200"/>
    <n v="322100"/>
    <x v="611"/>
    <x v="1"/>
  </r>
  <r>
    <x v="625"/>
    <n v="645"/>
    <x v="117"/>
    <x v="296"/>
    <x v="2"/>
    <s v="196.2K"/>
    <x v="480"/>
    <n v="13200000"/>
    <n v="196200"/>
    <n v="282200"/>
    <x v="612"/>
    <x v="1"/>
  </r>
  <r>
    <x v="626"/>
    <n v="646"/>
    <x v="9"/>
    <x v="323"/>
    <x v="3"/>
    <s v="156.2K"/>
    <x v="481"/>
    <n v="9700000"/>
    <n v="156200"/>
    <n v="391000"/>
    <x v="613"/>
    <x v="3"/>
  </r>
  <r>
    <x v="627"/>
    <n v="647"/>
    <x v="8"/>
    <x v="219"/>
    <x v="0"/>
    <s v="179.8K"/>
    <x v="482"/>
    <n v="15000000"/>
    <n v="179800"/>
    <n v="246700"/>
    <x v="614"/>
    <x v="1"/>
  </r>
  <r>
    <x v="628"/>
    <n v="648"/>
    <x v="65"/>
    <x v="359"/>
    <x v="0"/>
    <s v="95.8K"/>
    <x v="483"/>
    <n v="24000000"/>
    <n v="95800"/>
    <n v="153800"/>
    <x v="615"/>
    <x v="1"/>
  </r>
  <r>
    <x v="629"/>
    <n v="649"/>
    <x v="8"/>
    <x v="137"/>
    <x v="0"/>
    <s v="198.7K"/>
    <x v="484"/>
    <n v="16000000"/>
    <n v="198700"/>
    <n v="230100"/>
    <x v="616"/>
    <x v="1"/>
  </r>
  <r>
    <x v="630"/>
    <n v="650"/>
    <x v="60"/>
    <x v="263"/>
    <x v="3"/>
    <s v="269.4K"/>
    <x v="485"/>
    <n v="9900000"/>
    <n v="269400"/>
    <n v="375700"/>
    <x v="617"/>
    <x v="3"/>
  </r>
  <r>
    <x v="631"/>
    <n v="651"/>
    <x v="28"/>
    <x v="360"/>
    <x v="2"/>
    <s v="36.9K"/>
    <x v="486"/>
    <n v="74600000"/>
    <n v="36900"/>
    <n v="49800"/>
    <x v="618"/>
    <x v="2"/>
  </r>
  <r>
    <x v="632"/>
    <n v="652"/>
    <x v="0"/>
    <x v="93"/>
    <x v="20"/>
    <s v="226.4K"/>
    <x v="487"/>
    <n v="9600000"/>
    <n v="226400"/>
    <n v="389000"/>
    <x v="619"/>
    <x v="3"/>
  </r>
  <r>
    <x v="633"/>
    <n v="654"/>
    <x v="3"/>
    <x v="242"/>
    <x v="7"/>
    <s v="202.3K"/>
    <x v="488"/>
    <n v="14700000"/>
    <n v="202300"/>
    <n v="248900"/>
    <x v="620"/>
    <x v="1"/>
  </r>
  <r>
    <x v="634"/>
    <n v="655"/>
    <x v="46"/>
    <x v="252"/>
    <x v="3"/>
    <s v="364.1K"/>
    <x v="324"/>
    <n v="7300000"/>
    <n v="364100"/>
    <n v="499700"/>
    <x v="621"/>
    <x v="3"/>
  </r>
  <r>
    <x v="635"/>
    <n v="656"/>
    <x v="48"/>
    <x v="233"/>
    <x v="9"/>
    <s v="347K"/>
    <x v="489"/>
    <n v="8000000"/>
    <n v="347000"/>
    <n v="461100"/>
    <x v="622"/>
    <x v="3"/>
  </r>
  <r>
    <x v="636"/>
    <n v="657"/>
    <x v="8"/>
    <x v="174"/>
    <x v="0"/>
    <s v="213.9K"/>
    <x v="490"/>
    <n v="13500000"/>
    <n v="213900"/>
    <n v="268000"/>
    <x v="623"/>
    <x v="1"/>
  </r>
  <r>
    <x v="637"/>
    <n v="658"/>
    <x v="0"/>
    <x v="305"/>
    <x v="2"/>
    <s v="349.3K"/>
    <x v="491"/>
    <n v="5400000"/>
    <n v="349300"/>
    <n v="687000"/>
    <x v="624"/>
    <x v="3"/>
  </r>
  <r>
    <x v="638"/>
    <n v="659"/>
    <x v="55"/>
    <x v="289"/>
    <x v="3"/>
    <s v="193.5K"/>
    <x v="492"/>
    <n v="8100000"/>
    <n v="193500"/>
    <n v="460900"/>
    <x v="625"/>
    <x v="3"/>
  </r>
  <r>
    <x v="639"/>
    <n v="660"/>
    <x v="9"/>
    <x v="84"/>
    <x v="26"/>
    <s v="194.8K"/>
    <x v="493"/>
    <n v="14400000"/>
    <n v="194800"/>
    <n v="256300"/>
    <x v="626"/>
    <x v="1"/>
  </r>
  <r>
    <x v="640"/>
    <n v="661"/>
    <x v="8"/>
    <x v="361"/>
    <x v="27"/>
    <s v="636.6K"/>
    <x v="494"/>
    <n v="5000000"/>
    <n v="636600"/>
    <n v="740000"/>
    <x v="627"/>
    <x v="3"/>
  </r>
  <r>
    <x v="641"/>
    <n v="662"/>
    <x v="0"/>
    <x v="276"/>
    <x v="3"/>
    <s v="248.2K"/>
    <x v="307"/>
    <n v="7800000"/>
    <n v="248200"/>
    <n v="468800"/>
    <x v="628"/>
    <x v="3"/>
  </r>
  <r>
    <x v="642"/>
    <n v="664"/>
    <x v="3"/>
    <x v="323"/>
    <x v="2"/>
    <s v="234K"/>
    <x v="495"/>
    <n v="9700000"/>
    <n v="234000"/>
    <n v="376200"/>
    <x v="629"/>
    <x v="3"/>
  </r>
  <r>
    <x v="643"/>
    <n v="665"/>
    <x v="29"/>
    <x v="255"/>
    <x v="19"/>
    <s v="161.6K"/>
    <x v="496"/>
    <n v="16900000"/>
    <n v="161600"/>
    <n v="210200"/>
    <x v="630"/>
    <x v="1"/>
  </r>
  <r>
    <x v="644"/>
    <n v="666"/>
    <x v="24"/>
    <x v="174"/>
    <x v="16"/>
    <s v="229.7K"/>
    <x v="497"/>
    <n v="13500000"/>
    <n v="229700"/>
    <n v="261500"/>
    <x v="631"/>
    <x v="1"/>
  </r>
  <r>
    <x v="645"/>
    <n v="667"/>
    <x v="84"/>
    <x v="362"/>
    <x v="2"/>
    <s v="267.2K"/>
    <x v="498"/>
    <n v="8900000"/>
    <n v="267200"/>
    <n v="403600"/>
    <x v="632"/>
    <x v="3"/>
  </r>
  <r>
    <x v="646"/>
    <n v="668"/>
    <x v="9"/>
    <x v="263"/>
    <x v="3"/>
    <s v="159.3K"/>
    <x v="499"/>
    <n v="9900000"/>
    <n v="159300"/>
    <n v="365600"/>
    <x v="633"/>
    <x v="3"/>
  </r>
  <r>
    <x v="647"/>
    <n v="669"/>
    <x v="62"/>
    <x v="363"/>
    <x v="7"/>
    <s v="164.4K"/>
    <x v="476"/>
    <n v="18600000"/>
    <n v="164400"/>
    <n v="189400"/>
    <x v="634"/>
    <x v="1"/>
  </r>
  <r>
    <x v="648"/>
    <n v="670"/>
    <x v="0"/>
    <x v="364"/>
    <x v="28"/>
    <s v="306.8K"/>
    <x v="500"/>
    <n v="9100000"/>
    <n v="306800"/>
    <n v="395200"/>
    <x v="635"/>
    <x v="3"/>
  </r>
  <r>
    <x v="649"/>
    <n v="671"/>
    <x v="91"/>
    <x v="351"/>
    <x v="7"/>
    <s v="264K"/>
    <x v="501"/>
    <n v="10400000"/>
    <n v="264000"/>
    <n v="342000"/>
    <x v="636"/>
    <x v="1"/>
  </r>
  <r>
    <x v="650"/>
    <n v="672"/>
    <x v="16"/>
    <x v="292"/>
    <x v="3"/>
    <s v="116.9K"/>
    <x v="502"/>
    <n v="13900000"/>
    <n v="116900"/>
    <n v="270800"/>
    <x v="637"/>
    <x v="1"/>
  </r>
  <r>
    <x v="651"/>
    <n v="673"/>
    <x v="118"/>
    <x v="217"/>
    <x v="0"/>
    <s v="488.4K"/>
    <x v="503"/>
    <n v="5600000"/>
    <n v="488400"/>
    <n v="636000"/>
    <x v="638"/>
    <x v="3"/>
  </r>
  <r>
    <x v="652"/>
    <n v="674"/>
    <x v="3"/>
    <x v="365"/>
    <x v="4"/>
    <s v="607.3K"/>
    <x v="504"/>
    <n v="4400000"/>
    <n v="607300"/>
    <n v="801600"/>
    <x v="639"/>
    <x v="3"/>
  </r>
  <r>
    <x v="653"/>
    <n v="675"/>
    <x v="61"/>
    <x v="366"/>
    <x v="17"/>
    <n v="0"/>
    <x v="17"/>
    <m/>
    <m/>
    <m/>
    <x v="200"/>
    <x v="4"/>
  </r>
  <r>
    <x v="654"/>
    <n v="676"/>
    <x v="0"/>
    <x v="155"/>
    <x v="12"/>
    <s v="146.6K"/>
    <x v="505"/>
    <n v="15900000"/>
    <n v="146600"/>
    <n v="219800"/>
    <x v="640"/>
    <x v="1"/>
  </r>
  <r>
    <x v="655"/>
    <n v="677"/>
    <x v="3"/>
    <x v="367"/>
    <x v="3"/>
    <s v="96.5K"/>
    <x v="506"/>
    <n v="22500000"/>
    <n v="96500"/>
    <n v="155300"/>
    <x v="641"/>
    <x v="1"/>
  </r>
  <r>
    <x v="656"/>
    <n v="678"/>
    <x v="26"/>
    <x v="353"/>
    <x v="0"/>
    <s v="630.5K"/>
    <x v="507"/>
    <n v="4200000"/>
    <n v="630500"/>
    <n v="849200"/>
    <x v="642"/>
    <x v="3"/>
  </r>
  <r>
    <x v="657"/>
    <n v="679"/>
    <x v="61"/>
    <x v="193"/>
    <x v="14"/>
    <s v="301.5K"/>
    <x v="508"/>
    <n v="9000000"/>
    <n v="301500"/>
    <n v="396900"/>
    <x v="643"/>
    <x v="3"/>
  </r>
  <r>
    <x v="658"/>
    <n v="680"/>
    <x v="16"/>
    <x v="317"/>
    <x v="2"/>
    <s v="292.1K"/>
    <x v="509"/>
    <n v="7400000"/>
    <n v="292100"/>
    <n v="474800"/>
    <x v="644"/>
    <x v="3"/>
  </r>
  <r>
    <x v="659"/>
    <n v="682"/>
    <x v="16"/>
    <x v="368"/>
    <x v="4"/>
    <s v="134.8K"/>
    <x v="363"/>
    <n v="16700000"/>
    <n v="134800"/>
    <n v="215100"/>
    <x v="645"/>
    <x v="1"/>
  </r>
  <r>
    <x v="660"/>
    <n v="683"/>
    <x v="3"/>
    <x v="289"/>
    <x v="3"/>
    <s v="253.1K"/>
    <x v="510"/>
    <n v="8100000"/>
    <n v="253100"/>
    <n v="433100"/>
    <x v="646"/>
    <x v="3"/>
  </r>
  <r>
    <x v="661"/>
    <n v="684"/>
    <x v="3"/>
    <x v="369"/>
    <x v="4"/>
    <s v="515.2K"/>
    <x v="511"/>
    <n v="4500000"/>
    <n v="515200.00000000006"/>
    <n v="770100"/>
    <x v="647"/>
    <x v="3"/>
  </r>
  <r>
    <x v="662"/>
    <n v="685"/>
    <x v="119"/>
    <x v="346"/>
    <x v="2"/>
    <s v="430.6K"/>
    <x v="512"/>
    <n v="6100000"/>
    <n v="430600"/>
    <n v="567000"/>
    <x v="648"/>
    <x v="3"/>
  </r>
  <r>
    <x v="663"/>
    <n v="686"/>
    <x v="8"/>
    <x v="291"/>
    <x v="2"/>
    <s v="126.7K"/>
    <x v="513"/>
    <n v="18100000"/>
    <n v="126700"/>
    <n v="187800"/>
    <x v="649"/>
    <x v="1"/>
  </r>
  <r>
    <x v="664"/>
    <n v="687"/>
    <x v="8"/>
    <x v="158"/>
    <x v="2"/>
    <s v="106.3K"/>
    <x v="514"/>
    <n v="24500000"/>
    <n v="106300"/>
    <n v="139100"/>
    <x v="650"/>
    <x v="1"/>
  </r>
  <r>
    <x v="665"/>
    <n v="688"/>
    <x v="96"/>
    <x v="352"/>
    <x v="0"/>
    <s v="260.2K"/>
    <x v="515"/>
    <n v="10600000"/>
    <n v="260200"/>
    <n v="318900"/>
    <x v="651"/>
    <x v="1"/>
  </r>
  <r>
    <x v="666"/>
    <n v="689"/>
    <x v="120"/>
    <x v="208"/>
    <x v="6"/>
    <s v="314.5K"/>
    <x v="516"/>
    <n v="9400000"/>
    <n v="314500"/>
    <n v="365500"/>
    <x v="652"/>
    <x v="3"/>
  </r>
  <r>
    <x v="667"/>
    <n v="690"/>
    <x v="65"/>
    <x v="182"/>
    <x v="3"/>
    <s v="71.1K"/>
    <x v="310"/>
    <n v="21700000"/>
    <n v="71100"/>
    <n v="160900"/>
    <x v="653"/>
    <x v="1"/>
  </r>
  <r>
    <x v="668"/>
    <n v="691"/>
    <x v="121"/>
    <x v="335"/>
    <x v="20"/>
    <s v="382.2K"/>
    <x v="517"/>
    <n v="3700000"/>
    <n v="382200"/>
    <n v="936000"/>
    <x v="654"/>
    <x v="3"/>
  </r>
  <r>
    <x v="669"/>
    <n v="692"/>
    <x v="29"/>
    <x v="370"/>
    <x v="4"/>
    <s v="177.6K"/>
    <x v="518"/>
    <n v="15400000"/>
    <n v="177600"/>
    <n v="219300"/>
    <x v="655"/>
    <x v="1"/>
  </r>
  <r>
    <x v="670"/>
    <n v="693"/>
    <x v="0"/>
    <x v="174"/>
    <x v="20"/>
    <s v="176.1K"/>
    <x v="519"/>
    <n v="13500000"/>
    <n v="176100"/>
    <n v="248800"/>
    <x v="656"/>
    <x v="1"/>
  </r>
  <r>
    <x v="671"/>
    <n v="694"/>
    <x v="65"/>
    <x v="371"/>
    <x v="6"/>
    <s v="607.3K"/>
    <x v="520"/>
    <n v="3800000"/>
    <n v="607300"/>
    <n v="887800"/>
    <x v="657"/>
    <x v="3"/>
  </r>
  <r>
    <x v="672"/>
    <n v="695"/>
    <x v="3"/>
    <x v="348"/>
    <x v="2"/>
    <s v="305.9K"/>
    <x v="521"/>
    <n v="7000000"/>
    <n v="305900"/>
    <n v="490900"/>
    <x v="658"/>
    <x v="3"/>
  </r>
  <r>
    <x v="673"/>
    <n v="696"/>
    <x v="61"/>
    <x v="249"/>
    <x v="17"/>
    <n v="0"/>
    <x v="187"/>
    <m/>
    <m/>
    <m/>
    <x v="200"/>
    <x v="4"/>
  </r>
  <r>
    <x v="674"/>
    <n v="697"/>
    <x v="62"/>
    <x v="212"/>
    <x v="12"/>
    <s v="330.3K"/>
    <x v="522"/>
    <n v="8700000"/>
    <n v="330300"/>
    <n v="392100"/>
    <x v="659"/>
    <x v="3"/>
  </r>
  <r>
    <x v="675"/>
    <n v="698"/>
    <x v="28"/>
    <x v="317"/>
    <x v="2"/>
    <s v="251.6K"/>
    <x v="523"/>
    <n v="7400000"/>
    <n v="251600"/>
    <n v="464500"/>
    <x v="660"/>
    <x v="3"/>
  </r>
  <r>
    <x v="676"/>
    <n v="699"/>
    <x v="84"/>
    <x v="327"/>
    <x v="2"/>
    <s v="66.9K"/>
    <x v="524"/>
    <n v="28400000"/>
    <n v="66900"/>
    <n v="118100"/>
    <x v="661"/>
    <x v="1"/>
  </r>
  <r>
    <x v="677"/>
    <n v="700"/>
    <x v="61"/>
    <x v="372"/>
    <x v="2"/>
    <s v="1M"/>
    <x v="30"/>
    <n v="3000000"/>
    <n v="1000000"/>
    <n v="1100000"/>
    <x v="100"/>
    <x v="3"/>
  </r>
  <r>
    <x v="678"/>
    <n v="701"/>
    <x v="46"/>
    <x v="217"/>
    <x v="2"/>
    <s v="364.7K"/>
    <x v="525"/>
    <n v="5600000"/>
    <n v="364700"/>
    <n v="608300"/>
    <x v="662"/>
    <x v="3"/>
  </r>
  <r>
    <x v="679"/>
    <n v="702"/>
    <x v="9"/>
    <x v="250"/>
    <x v="14"/>
    <s v="379.9K"/>
    <x v="526"/>
    <n v="6500000"/>
    <n v="379900"/>
    <n v="541000"/>
    <x v="663"/>
    <x v="3"/>
  </r>
  <r>
    <x v="680"/>
    <n v="703"/>
    <x v="9"/>
    <x v="212"/>
    <x v="6"/>
    <s v="316.9K"/>
    <x v="527"/>
    <n v="8700000"/>
    <n v="316900"/>
    <n v="383600"/>
    <x v="664"/>
    <x v="3"/>
  </r>
  <r>
    <x v="681"/>
    <n v="704"/>
    <x v="3"/>
    <x v="350"/>
    <x v="2"/>
    <s v="491.7K"/>
    <x v="528"/>
    <n v="3900000"/>
    <n v="491700"/>
    <n v="848700"/>
    <x v="665"/>
    <x v="3"/>
  </r>
  <r>
    <x v="682"/>
    <n v="705"/>
    <x v="122"/>
    <x v="185"/>
    <x v="3"/>
    <s v="105.8K"/>
    <x v="529"/>
    <n v="16100000.000000002"/>
    <n v="105800"/>
    <n v="205500"/>
    <x v="666"/>
    <x v="1"/>
  </r>
  <r>
    <x v="683"/>
    <n v="707"/>
    <x v="8"/>
    <x v="373"/>
    <x v="2"/>
    <s v="123.9K"/>
    <x v="530"/>
    <n v="21500000"/>
    <n v="123900"/>
    <n v="152500"/>
    <x v="667"/>
    <x v="1"/>
  </r>
  <r>
    <x v="684"/>
    <n v="708"/>
    <x v="8"/>
    <x v="280"/>
    <x v="14"/>
    <s v="190.9K"/>
    <x v="531"/>
    <n v="12200000"/>
    <n v="190900"/>
    <n v="280700"/>
    <x v="668"/>
    <x v="1"/>
  </r>
  <r>
    <x v="685"/>
    <n v="709"/>
    <x v="8"/>
    <x v="226"/>
    <x v="11"/>
    <s v="198.6K"/>
    <x v="532"/>
    <n v="13700000"/>
    <n v="198600"/>
    <n v="245400"/>
    <x v="669"/>
    <x v="1"/>
  </r>
  <r>
    <x v="686"/>
    <n v="710"/>
    <x v="112"/>
    <x v="280"/>
    <x v="2"/>
    <s v="158.6K"/>
    <x v="533"/>
    <n v="12200000"/>
    <n v="158600"/>
    <n v="272300"/>
    <x v="670"/>
    <x v="1"/>
  </r>
  <r>
    <x v="687"/>
    <n v="711"/>
    <x v="9"/>
    <x v="252"/>
    <x v="7"/>
    <s v="385.1K"/>
    <x v="534"/>
    <n v="7300000"/>
    <n v="385100"/>
    <n v="449200"/>
    <x v="671"/>
    <x v="3"/>
  </r>
  <r>
    <x v="688"/>
    <n v="712"/>
    <x v="0"/>
    <x v="68"/>
    <x v="20"/>
    <s v="97.3K"/>
    <x v="535"/>
    <n v="22200000"/>
    <n v="97300"/>
    <n v="146000"/>
    <x v="672"/>
    <x v="1"/>
  </r>
  <r>
    <x v="689"/>
    <n v="713"/>
    <x v="123"/>
    <x v="236"/>
    <x v="17"/>
    <n v="0"/>
    <x v="536"/>
    <m/>
    <m/>
    <m/>
    <x v="200"/>
    <x v="4"/>
  </r>
  <r>
    <x v="690"/>
    <n v="714"/>
    <x v="8"/>
    <x v="249"/>
    <x v="0"/>
    <s v="481.1K"/>
    <x v="537"/>
    <n v="5900000"/>
    <n v="481100"/>
    <n v="551900"/>
    <x v="673"/>
    <x v="3"/>
  </r>
  <r>
    <x v="691"/>
    <n v="715"/>
    <x v="3"/>
    <x v="215"/>
    <x v="4"/>
    <s v="280.8K"/>
    <x v="538"/>
    <n v="10200000"/>
    <n v="280800"/>
    <n v="312500"/>
    <x v="674"/>
    <x v="1"/>
  </r>
  <r>
    <x v="692"/>
    <n v="716"/>
    <x v="88"/>
    <x v="292"/>
    <x v="9"/>
    <s v="171.7K"/>
    <x v="539"/>
    <n v="13900000"/>
    <n v="171700"/>
    <n v="236000"/>
    <x v="675"/>
    <x v="1"/>
  </r>
  <r>
    <x v="693"/>
    <n v="717"/>
    <x v="9"/>
    <x v="251"/>
    <x v="14"/>
    <s v="188.4K"/>
    <x v="540"/>
    <n v="12000000"/>
    <n v="188400"/>
    <n v="275200"/>
    <x v="676"/>
    <x v="1"/>
  </r>
  <r>
    <x v="694"/>
    <n v="718"/>
    <x v="0"/>
    <x v="246"/>
    <x v="1"/>
    <s v="372.7K"/>
    <x v="541"/>
    <n v="4800000"/>
    <n v="372700"/>
    <n v="675700"/>
    <x v="677"/>
    <x v="3"/>
  </r>
  <r>
    <x v="695"/>
    <n v="719"/>
    <x v="9"/>
    <x v="346"/>
    <x v="9"/>
    <s v="374.4K"/>
    <x v="542"/>
    <n v="6100000"/>
    <n v="374400"/>
    <n v="528400"/>
    <x v="678"/>
    <x v="3"/>
  </r>
  <r>
    <x v="696"/>
    <n v="720"/>
    <x v="9"/>
    <x v="142"/>
    <x v="1"/>
    <s v="165.2K"/>
    <x v="543"/>
    <n v="13600000"/>
    <n v="165200"/>
    <n v="233300"/>
    <x v="679"/>
    <x v="1"/>
  </r>
  <r>
    <x v="697"/>
    <n v="721"/>
    <x v="0"/>
    <x v="289"/>
    <x v="14"/>
    <s v="281.2K"/>
    <x v="544"/>
    <n v="8100000"/>
    <n v="281200"/>
    <n v="400100"/>
    <x v="680"/>
    <x v="3"/>
  </r>
  <r>
    <x v="698"/>
    <n v="722"/>
    <x v="61"/>
    <x v="374"/>
    <x v="11"/>
    <s v="174.8K"/>
    <x v="545"/>
    <n v="12400000"/>
    <n v="174800"/>
    <n v="252100"/>
    <x v="681"/>
    <x v="1"/>
  </r>
  <r>
    <x v="699"/>
    <n v="723"/>
    <x v="8"/>
    <x v="267"/>
    <x v="0"/>
    <s v="211.9K"/>
    <x v="546"/>
    <n v="11000000"/>
    <n v="211900"/>
    <n v="287600"/>
    <x v="682"/>
    <x v="1"/>
  </r>
  <r>
    <x v="700"/>
    <n v="724"/>
    <x v="0"/>
    <x v="375"/>
    <x v="2"/>
    <s v="29.9K"/>
    <x v="547"/>
    <n v="69000000"/>
    <n v="29900"/>
    <n v="45300"/>
    <x v="683"/>
    <x v="2"/>
  </r>
  <r>
    <x v="701"/>
    <n v="725"/>
    <x v="9"/>
    <x v="176"/>
    <x v="0"/>
    <s v="157.3K"/>
    <x v="548"/>
    <n v="14600000"/>
    <n v="157300"/>
    <n v="214400"/>
    <x v="684"/>
    <x v="1"/>
  </r>
  <r>
    <x v="702"/>
    <n v="726"/>
    <x v="8"/>
    <x v="222"/>
    <x v="11"/>
    <s v="263.7K"/>
    <x v="549"/>
    <n v="9300000"/>
    <n v="263700"/>
    <n v="341700"/>
    <x v="685"/>
    <x v="3"/>
  </r>
  <r>
    <x v="703"/>
    <n v="727"/>
    <x v="3"/>
    <x v="376"/>
    <x v="4"/>
    <s v="835K"/>
    <x v="30"/>
    <n v="2900000"/>
    <n v="835000"/>
    <n v="1100000"/>
    <x v="686"/>
    <x v="3"/>
  </r>
  <r>
    <x v="704"/>
    <n v="728"/>
    <x v="30"/>
    <x v="212"/>
    <x v="0"/>
    <s v="286.4K"/>
    <x v="550"/>
    <n v="8700000"/>
    <n v="286400"/>
    <n v="359100"/>
    <x v="687"/>
    <x v="3"/>
  </r>
  <r>
    <x v="705"/>
    <n v="729"/>
    <x v="8"/>
    <x v="298"/>
    <x v="2"/>
    <s v="202.7K"/>
    <x v="551"/>
    <n v="13300000"/>
    <n v="202700"/>
    <n v="229300"/>
    <x v="688"/>
    <x v="1"/>
  </r>
  <r>
    <x v="706"/>
    <n v="730"/>
    <x v="9"/>
    <x v="252"/>
    <x v="2"/>
    <s v="271.1K"/>
    <x v="552"/>
    <n v="7300000"/>
    <n v="271100"/>
    <n v="423600"/>
    <x v="689"/>
    <x v="3"/>
  </r>
  <r>
    <x v="707"/>
    <n v="731"/>
    <x v="9"/>
    <x v="353"/>
    <x v="5"/>
    <s v="600.1K"/>
    <x v="553"/>
    <n v="4200000"/>
    <n v="600100"/>
    <n v="736100"/>
    <x v="690"/>
    <x v="3"/>
  </r>
  <r>
    <x v="708"/>
    <n v="732"/>
    <x v="0"/>
    <x v="247"/>
    <x v="9"/>
    <s v="234.7K"/>
    <x v="554"/>
    <n v="8400000"/>
    <n v="234700"/>
    <n v="366000"/>
    <x v="691"/>
    <x v="3"/>
  </r>
  <r>
    <x v="709"/>
    <n v="733"/>
    <x v="8"/>
    <x v="93"/>
    <x v="3"/>
    <s v="194K"/>
    <x v="555"/>
    <n v="9600000"/>
    <n v="194000"/>
    <n v="318500"/>
    <x v="692"/>
    <x v="3"/>
  </r>
  <r>
    <x v="710"/>
    <n v="734"/>
    <x v="55"/>
    <x v="329"/>
    <x v="2"/>
    <s v="186.1K"/>
    <x v="556"/>
    <n v="11700000"/>
    <n v="186100"/>
    <n v="256899.99999999997"/>
    <x v="693"/>
    <x v="1"/>
  </r>
  <r>
    <x v="711"/>
    <n v="735"/>
    <x v="20"/>
    <x v="224"/>
    <x v="2"/>
    <s v="132.3K"/>
    <x v="557"/>
    <n v="14900000"/>
    <n v="132300"/>
    <n v="201400"/>
    <x v="694"/>
    <x v="1"/>
  </r>
  <r>
    <x v="712"/>
    <n v="737"/>
    <x v="9"/>
    <x v="216"/>
    <x v="2"/>
    <s v="184.6K"/>
    <x v="558"/>
    <n v="11100000"/>
    <n v="184600"/>
    <n v="271400"/>
    <x v="695"/>
    <x v="1"/>
  </r>
  <r>
    <x v="713"/>
    <n v="738"/>
    <x v="9"/>
    <x v="264"/>
    <x v="14"/>
    <s v="179.7K"/>
    <x v="559"/>
    <n v="11600000"/>
    <n v="179700"/>
    <n v="262000"/>
    <x v="696"/>
    <x v="1"/>
  </r>
  <r>
    <x v="714"/>
    <n v="739"/>
    <x v="7"/>
    <x v="150"/>
    <x v="0"/>
    <s v="188.5K"/>
    <x v="560"/>
    <n v="10800000"/>
    <n v="188500"/>
    <n v="279200"/>
    <x v="697"/>
    <x v="1"/>
  </r>
  <r>
    <x v="715"/>
    <n v="740"/>
    <x v="8"/>
    <x v="352"/>
    <x v="0"/>
    <s v="208.6K"/>
    <x v="561"/>
    <n v="10600000"/>
    <n v="208600"/>
    <n v="282500"/>
    <x v="698"/>
    <x v="1"/>
  </r>
  <r>
    <x v="716"/>
    <n v="741"/>
    <x v="88"/>
    <x v="377"/>
    <x v="3"/>
    <s v="188.4K"/>
    <x v="562"/>
    <n v="11900000"/>
    <n v="188400"/>
    <n v="252200"/>
    <x v="699"/>
    <x v="1"/>
  </r>
  <r>
    <x v="717"/>
    <n v="742"/>
    <x v="16"/>
    <x v="268"/>
    <x v="0"/>
    <s v="148.1K"/>
    <x v="563"/>
    <n v="17200000"/>
    <n v="148100"/>
    <n v="172800"/>
    <x v="700"/>
    <x v="1"/>
  </r>
  <r>
    <x v="718"/>
    <n v="743"/>
    <x v="94"/>
    <x v="142"/>
    <x v="7"/>
    <s v="170.9K"/>
    <x v="564"/>
    <n v="13600000"/>
    <n v="170900"/>
    <n v="220900"/>
    <x v="701"/>
    <x v="1"/>
  </r>
  <r>
    <x v="719"/>
    <n v="744"/>
    <x v="3"/>
    <x v="208"/>
    <x v="6"/>
    <s v="220.7K"/>
    <x v="565"/>
    <n v="9400000"/>
    <n v="220700"/>
    <n v="324800"/>
    <x v="702"/>
    <x v="3"/>
  </r>
  <r>
    <x v="720"/>
    <n v="745"/>
    <x v="124"/>
    <x v="378"/>
    <x v="2"/>
    <s v="144.6K"/>
    <x v="286"/>
    <n v="15600000"/>
    <n v="144600"/>
    <n v="189300"/>
    <x v="703"/>
    <x v="1"/>
  </r>
  <r>
    <x v="721"/>
    <n v="746"/>
    <x v="3"/>
    <x v="137"/>
    <x v="3"/>
    <s v="137.9K"/>
    <x v="566"/>
    <n v="16000000"/>
    <n v="137900"/>
    <n v="186400"/>
    <x v="704"/>
    <x v="1"/>
  </r>
  <r>
    <x v="722"/>
    <n v="747"/>
    <x v="84"/>
    <x v="364"/>
    <x v="6"/>
    <s v="281.7K"/>
    <x v="567"/>
    <n v="9100000"/>
    <n v="281700"/>
    <n v="330800"/>
    <x v="705"/>
    <x v="3"/>
  </r>
  <r>
    <x v="723"/>
    <n v="748"/>
    <x v="8"/>
    <x v="174"/>
    <x v="4"/>
    <s v="127.7K"/>
    <x v="568"/>
    <n v="13500000"/>
    <n v="127700"/>
    <n v="220000"/>
    <x v="706"/>
    <x v="1"/>
  </r>
  <r>
    <x v="724"/>
    <n v="749"/>
    <x v="9"/>
    <x v="379"/>
    <x v="4"/>
    <s v="259.5K"/>
    <x v="569"/>
    <n v="7700000"/>
    <n v="259500"/>
    <n v="389500"/>
    <x v="707"/>
    <x v="3"/>
  </r>
  <r>
    <x v="725"/>
    <n v="750"/>
    <x v="61"/>
    <x v="165"/>
    <x v="6"/>
    <s v="192.5K"/>
    <x v="570"/>
    <n v="13000000"/>
    <n v="192500"/>
    <n v="226600"/>
    <x v="708"/>
    <x v="1"/>
  </r>
  <r>
    <x v="726"/>
    <n v="751"/>
    <x v="70"/>
    <x v="328"/>
    <x v="3"/>
    <s v="207.3K"/>
    <x v="571"/>
    <n v="11400000"/>
    <n v="207300"/>
    <n v="257700"/>
    <x v="709"/>
    <x v="1"/>
  </r>
  <r>
    <x v="727"/>
    <n v="752"/>
    <x v="0"/>
    <x v="378"/>
    <x v="12"/>
    <s v="151.1K"/>
    <x v="572"/>
    <n v="15600000"/>
    <n v="151100"/>
    <n v="188800"/>
    <x v="710"/>
    <x v="1"/>
  </r>
  <r>
    <x v="728"/>
    <n v="753"/>
    <x v="9"/>
    <x v="214"/>
    <x v="2"/>
    <s v="192.2K"/>
    <x v="573"/>
    <n v="6300000"/>
    <n v="192200"/>
    <n v="478500"/>
    <x v="711"/>
    <x v="3"/>
  </r>
  <r>
    <x v="729"/>
    <n v="754"/>
    <x v="8"/>
    <x v="280"/>
    <x v="0"/>
    <s v="180.9K"/>
    <x v="574"/>
    <n v="12200000"/>
    <n v="180900"/>
    <n v="239400"/>
    <x v="712"/>
    <x v="1"/>
  </r>
  <r>
    <x v="730"/>
    <n v="755"/>
    <x v="125"/>
    <x v="345"/>
    <x v="4"/>
    <s v="502.2K"/>
    <x v="575"/>
    <n v="5200000"/>
    <n v="502200"/>
    <n v="570400"/>
    <x v="713"/>
    <x v="3"/>
  </r>
  <r>
    <x v="731"/>
    <n v="756"/>
    <x v="16"/>
    <x v="319"/>
    <x v="10"/>
    <s v="105K"/>
    <x v="576"/>
    <n v="22700000"/>
    <n v="105000"/>
    <n v="129100"/>
    <x v="714"/>
    <x v="1"/>
  </r>
  <r>
    <x v="732"/>
    <n v="757"/>
    <x v="15"/>
    <x v="200"/>
    <x v="3"/>
    <s v="238.5K"/>
    <x v="577"/>
    <n v="10000000"/>
    <n v="238500"/>
    <n v="290300"/>
    <x v="715"/>
    <x v="1"/>
  </r>
  <r>
    <x v="733"/>
    <n v="758"/>
    <x v="34"/>
    <x v="292"/>
    <x v="2"/>
    <s v="139.1K"/>
    <x v="578"/>
    <n v="13900000"/>
    <n v="139100"/>
    <n v="208100"/>
    <x v="716"/>
    <x v="1"/>
  </r>
  <r>
    <x v="734"/>
    <n v="759"/>
    <x v="84"/>
    <x v="275"/>
    <x v="6"/>
    <s v="154.5K"/>
    <x v="579"/>
    <n v="13400000"/>
    <n v="154500"/>
    <n v="215700"/>
    <x v="717"/>
    <x v="1"/>
  </r>
  <r>
    <x v="735"/>
    <n v="760"/>
    <x v="61"/>
    <x v="380"/>
    <x v="17"/>
    <n v="0"/>
    <x v="580"/>
    <m/>
    <m/>
    <m/>
    <x v="200"/>
    <x v="4"/>
  </r>
  <r>
    <x v="736"/>
    <n v="761"/>
    <x v="88"/>
    <x v="305"/>
    <x v="2"/>
    <s v="391.8K"/>
    <x v="581"/>
    <n v="5400000"/>
    <n v="391800"/>
    <n v="550700"/>
    <x v="718"/>
    <x v="3"/>
  </r>
  <r>
    <x v="737"/>
    <n v="762"/>
    <x v="126"/>
    <x v="352"/>
    <x v="3"/>
    <s v="204.3K"/>
    <x v="242"/>
    <n v="10600000"/>
    <n v="204300"/>
    <n v="275500"/>
    <x v="719"/>
    <x v="1"/>
  </r>
  <r>
    <x v="738"/>
    <n v="763"/>
    <x v="127"/>
    <x v="348"/>
    <x v="2"/>
    <s v="328K"/>
    <x v="582"/>
    <n v="7000000"/>
    <n v="328000"/>
    <n v="419600"/>
    <x v="720"/>
    <x v="3"/>
  </r>
  <r>
    <x v="739"/>
    <n v="764"/>
    <x v="9"/>
    <x v="355"/>
    <x v="2"/>
    <s v="232.1K"/>
    <x v="122"/>
    <n v="4300000"/>
    <n v="232100"/>
    <n v="687700"/>
    <x v="721"/>
    <x v="3"/>
  </r>
  <r>
    <x v="740"/>
    <n v="765"/>
    <x v="77"/>
    <x v="381"/>
    <x v="1"/>
    <s v="70.6K"/>
    <x v="583"/>
    <n v="29700000"/>
    <n v="70600"/>
    <n v="97600"/>
    <x v="722"/>
    <x v="1"/>
  </r>
  <r>
    <x v="741"/>
    <n v="766"/>
    <x v="9"/>
    <x v="315"/>
    <x v="15"/>
    <s v="213.2K"/>
    <x v="584"/>
    <n v="9500000"/>
    <n v="213200"/>
    <n v="313000"/>
    <x v="723"/>
    <x v="3"/>
  </r>
  <r>
    <x v="742"/>
    <n v="767"/>
    <x v="19"/>
    <x v="379"/>
    <x v="8"/>
    <s v="275K"/>
    <x v="585"/>
    <n v="7700000"/>
    <n v="275000"/>
    <n v="378600"/>
    <x v="724"/>
    <x v="3"/>
  </r>
  <r>
    <x v="743"/>
    <n v="768"/>
    <x v="0"/>
    <x v="382"/>
    <x v="12"/>
    <s v="49.4K"/>
    <x v="586"/>
    <n v="39700000"/>
    <n v="49400"/>
    <n v="72200"/>
    <x v="725"/>
    <x v="1"/>
  </r>
  <r>
    <x v="744"/>
    <n v="769"/>
    <x v="128"/>
    <x v="219"/>
    <x v="2"/>
    <s v="157.9K"/>
    <x v="470"/>
    <n v="15000000"/>
    <n v="157900"/>
    <n v="191700"/>
    <x v="726"/>
    <x v="1"/>
  </r>
  <r>
    <x v="745"/>
    <n v="770"/>
    <x v="95"/>
    <x v="228"/>
    <x v="2"/>
    <s v="68.8K"/>
    <x v="587"/>
    <n v="27300000"/>
    <n v="68800"/>
    <n v="105100"/>
    <x v="727"/>
    <x v="1"/>
  </r>
  <r>
    <x v="746"/>
    <n v="771"/>
    <x v="65"/>
    <x v="291"/>
    <x v="3"/>
    <s v="84.2K"/>
    <x v="222"/>
    <n v="18100000"/>
    <n v="84200"/>
    <n v="159800"/>
    <x v="728"/>
    <x v="1"/>
  </r>
  <r>
    <x v="747"/>
    <n v="772"/>
    <x v="3"/>
    <x v="294"/>
    <x v="1"/>
    <s v="249.9K"/>
    <x v="588"/>
    <n v="5100000"/>
    <n v="249900"/>
    <n v="570300"/>
    <x v="729"/>
    <x v="3"/>
  </r>
  <r>
    <x v="748"/>
    <n v="773"/>
    <x v="14"/>
    <x v="383"/>
    <x v="29"/>
    <s v="919.9K"/>
    <x v="7"/>
    <n v="1600000"/>
    <n v="919900"/>
    <n v="1900000"/>
    <x v="730"/>
    <x v="3"/>
  </r>
  <r>
    <x v="749"/>
    <n v="774"/>
    <x v="129"/>
    <x v="206"/>
    <x v="9"/>
    <s v="105.7K"/>
    <x v="589"/>
    <n v="17400000"/>
    <n v="105700"/>
    <n v="164100"/>
    <x v="731"/>
    <x v="1"/>
  </r>
  <r>
    <x v="750"/>
    <n v="775"/>
    <x v="0"/>
    <x v="212"/>
    <x v="12"/>
    <s v="217.8K"/>
    <x v="590"/>
    <n v="8700000"/>
    <n v="217800"/>
    <n v="330300"/>
    <x v="732"/>
    <x v="3"/>
  </r>
  <r>
    <x v="751"/>
    <n v="776"/>
    <x v="22"/>
    <x v="384"/>
    <x v="2"/>
    <n v="0"/>
    <x v="591"/>
    <m/>
    <m/>
    <m/>
    <x v="200"/>
    <x v="4"/>
  </r>
  <r>
    <x v="752"/>
    <n v="777"/>
    <x v="65"/>
    <x v="117"/>
    <x v="4"/>
    <s v="80.8K"/>
    <x v="592"/>
    <n v="20900000"/>
    <n v="80800"/>
    <n v="137600"/>
    <x v="733"/>
    <x v="1"/>
  </r>
  <r>
    <x v="753"/>
    <n v="778"/>
    <x v="3"/>
    <x v="340"/>
    <x v="4"/>
    <s v="259.1K"/>
    <x v="593"/>
    <n v="9200000"/>
    <n v="259100.00000000003"/>
    <n v="310400"/>
    <x v="734"/>
    <x v="3"/>
  </r>
  <r>
    <x v="754"/>
    <n v="779"/>
    <x v="0"/>
    <x v="237"/>
    <x v="2"/>
    <s v="123K"/>
    <x v="594"/>
    <n v="12500000"/>
    <n v="123000"/>
    <n v="227900"/>
    <x v="735"/>
    <x v="1"/>
  </r>
  <r>
    <x v="755"/>
    <n v="780"/>
    <x v="20"/>
    <x v="94"/>
    <x v="2"/>
    <s v="123K"/>
    <x v="469"/>
    <n v="17000000"/>
    <n v="123000"/>
    <n v="166800"/>
    <x v="736"/>
    <x v="1"/>
  </r>
  <r>
    <x v="756"/>
    <n v="781"/>
    <x v="130"/>
    <x v="174"/>
    <x v="3"/>
    <s v="145.3K"/>
    <x v="595"/>
    <n v="13500000"/>
    <n v="145300"/>
    <n v="211900"/>
    <x v="737"/>
    <x v="1"/>
  </r>
  <r>
    <x v="757"/>
    <n v="782"/>
    <x v="0"/>
    <x v="361"/>
    <x v="20"/>
    <s v="326.2K"/>
    <x v="596"/>
    <n v="5000000"/>
    <n v="326200"/>
    <n v="571500"/>
    <x v="738"/>
    <x v="3"/>
  </r>
  <r>
    <x v="758"/>
    <n v="783"/>
    <x v="3"/>
    <x v="252"/>
    <x v="2"/>
    <s v="304.6K"/>
    <x v="597"/>
    <n v="7300000"/>
    <n v="304600"/>
    <n v="390700"/>
    <x v="739"/>
    <x v="3"/>
  </r>
  <r>
    <x v="759"/>
    <n v="784"/>
    <x v="0"/>
    <x v="225"/>
    <x v="3"/>
    <s v="91K"/>
    <x v="598"/>
    <n v="18700000"/>
    <n v="91000"/>
    <n v="148400"/>
    <x v="740"/>
    <x v="1"/>
  </r>
  <r>
    <x v="760"/>
    <n v="785"/>
    <x v="0"/>
    <x v="385"/>
    <x v="3"/>
    <s v="64.8K"/>
    <x v="599"/>
    <n v="31500000"/>
    <n v="64800"/>
    <n v="88100"/>
    <x v="741"/>
    <x v="1"/>
  </r>
  <r>
    <x v="761"/>
    <n v="786"/>
    <x v="62"/>
    <x v="180"/>
    <x v="26"/>
    <n v="0"/>
    <x v="600"/>
    <m/>
    <m/>
    <m/>
    <x v="200"/>
    <x v="4"/>
  </r>
  <r>
    <x v="762"/>
    <n v="787"/>
    <x v="62"/>
    <x v="247"/>
    <x v="0"/>
    <s v="277.6K"/>
    <x v="601"/>
    <n v="8400000"/>
    <n v="277600"/>
    <n v="342800"/>
    <x v="742"/>
    <x v="3"/>
  </r>
  <r>
    <x v="763"/>
    <n v="788"/>
    <x v="3"/>
    <x v="305"/>
    <x v="4"/>
    <s v="408.9K"/>
    <x v="602"/>
    <n v="5400000"/>
    <n v="408900"/>
    <n v="522600"/>
    <x v="743"/>
    <x v="3"/>
  </r>
  <r>
    <x v="764"/>
    <n v="789"/>
    <x v="0"/>
    <x v="374"/>
    <x v="2"/>
    <s v="137.9K"/>
    <x v="603"/>
    <n v="12400000"/>
    <n v="137900"/>
    <n v="222500"/>
    <x v="744"/>
    <x v="1"/>
  </r>
  <r>
    <x v="765"/>
    <n v="790"/>
    <x v="84"/>
    <x v="304"/>
    <x v="2"/>
    <s v="344.9K"/>
    <x v="604"/>
    <n v="6700000"/>
    <n v="344900"/>
    <n v="421400"/>
    <x v="745"/>
    <x v="3"/>
  </r>
  <r>
    <x v="766"/>
    <n v="791"/>
    <x v="8"/>
    <x v="225"/>
    <x v="3"/>
    <s v="94.5K"/>
    <x v="605"/>
    <n v="18700000"/>
    <n v="94500"/>
    <n v="147700"/>
    <x v="746"/>
    <x v="1"/>
  </r>
  <r>
    <x v="767"/>
    <n v="792"/>
    <x v="3"/>
    <x v="252"/>
    <x v="5"/>
    <s v="320.1K"/>
    <x v="606"/>
    <n v="7300000"/>
    <n v="320100"/>
    <n v="385700"/>
    <x v="747"/>
    <x v="3"/>
  </r>
  <r>
    <x v="768"/>
    <n v="793"/>
    <x v="38"/>
    <x v="386"/>
    <x v="3"/>
    <s v="55.8K"/>
    <x v="607"/>
    <n v="30400000"/>
    <n v="55800"/>
    <n v="90500"/>
    <x v="748"/>
    <x v="1"/>
  </r>
  <r>
    <x v="769"/>
    <n v="794"/>
    <x v="9"/>
    <x v="387"/>
    <x v="0"/>
    <s v="237.7K"/>
    <x v="608"/>
    <n v="7500000"/>
    <n v="237700"/>
    <n v="373900"/>
    <x v="749"/>
    <x v="3"/>
  </r>
  <r>
    <x v="770"/>
    <n v="795"/>
    <x v="91"/>
    <x v="233"/>
    <x v="2"/>
    <s v="198.4K"/>
    <x v="609"/>
    <n v="8000000"/>
    <n v="198400"/>
    <n v="350500"/>
    <x v="750"/>
    <x v="3"/>
  </r>
  <r>
    <x v="771"/>
    <n v="796"/>
    <x v="0"/>
    <x v="312"/>
    <x v="3"/>
    <s v="101.6K"/>
    <x v="610"/>
    <n v="17500000"/>
    <n v="101600"/>
    <n v="156800"/>
    <x v="751"/>
    <x v="1"/>
  </r>
  <r>
    <x v="772"/>
    <n v="797"/>
    <x v="8"/>
    <x v="317"/>
    <x v="24"/>
    <s v="277K"/>
    <x v="611"/>
    <n v="7400000"/>
    <n v="277000"/>
    <n v="375300"/>
    <x v="752"/>
    <x v="3"/>
  </r>
  <r>
    <x v="773"/>
    <n v="798"/>
    <x v="9"/>
    <x v="180"/>
    <x v="2"/>
    <s v="210.5K"/>
    <x v="612"/>
    <n v="6900000"/>
    <n v="210500"/>
    <n v="404200"/>
    <x v="753"/>
    <x v="3"/>
  </r>
  <r>
    <x v="774"/>
    <n v="799"/>
    <x v="82"/>
    <x v="111"/>
    <x v="2"/>
    <s v="66.7K"/>
    <x v="613"/>
    <n v="35400000"/>
    <n v="66700"/>
    <n v="77500"/>
    <x v="754"/>
    <x v="1"/>
  </r>
  <r>
    <x v="775"/>
    <n v="800"/>
    <x v="8"/>
    <x v="365"/>
    <x v="0"/>
    <s v="489.7K"/>
    <x v="614"/>
    <n v="4400000"/>
    <n v="489700"/>
    <n v="634400"/>
    <x v="755"/>
    <x v="3"/>
  </r>
  <r>
    <x v="776"/>
    <n v="801"/>
    <x v="8"/>
    <x v="371"/>
    <x v="9"/>
    <s v="547.2K"/>
    <x v="615"/>
    <n v="3800000"/>
    <n v="547200"/>
    <n v="730000"/>
    <x v="756"/>
    <x v="3"/>
  </r>
  <r>
    <x v="777"/>
    <n v="802"/>
    <x v="0"/>
    <x v="320"/>
    <x v="11"/>
    <s v="195.7K"/>
    <x v="616"/>
    <n v="11500000"/>
    <n v="195700"/>
    <n v="236400"/>
    <x v="757"/>
    <x v="1"/>
  </r>
  <r>
    <x v="778"/>
    <n v="803"/>
    <x v="131"/>
    <x v="212"/>
    <x v="14"/>
    <s v="252.6K"/>
    <x v="617"/>
    <n v="8700000"/>
    <n v="252600"/>
    <n v="313500"/>
    <x v="758"/>
    <x v="3"/>
  </r>
  <r>
    <x v="779"/>
    <n v="804"/>
    <x v="61"/>
    <x v="388"/>
    <x v="14"/>
    <s v="472.8K"/>
    <x v="618"/>
    <n v="4600000"/>
    <n v="472800"/>
    <n v="611600"/>
    <x v="759"/>
    <x v="3"/>
  </r>
  <r>
    <x v="780"/>
    <n v="805"/>
    <x v="19"/>
    <x v="346"/>
    <x v="0"/>
    <s v="396.1K"/>
    <x v="619"/>
    <n v="6100000"/>
    <n v="396100"/>
    <n v="491800"/>
    <x v="760"/>
    <x v="3"/>
  </r>
  <r>
    <x v="781"/>
    <n v="806"/>
    <x v="132"/>
    <x v="389"/>
    <x v="2"/>
    <s v="277.6K"/>
    <x v="620"/>
    <n v="6800000"/>
    <n v="277600"/>
    <n v="406400"/>
    <x v="761"/>
    <x v="3"/>
  </r>
  <r>
    <x v="782"/>
    <n v="807"/>
    <x v="3"/>
    <x v="390"/>
    <x v="4"/>
    <s v="51.4K"/>
    <x v="621"/>
    <n v="39600000"/>
    <n v="51400"/>
    <n v="68000"/>
    <x v="762"/>
    <x v="1"/>
  </r>
  <r>
    <x v="783"/>
    <n v="808"/>
    <x v="3"/>
    <x v="211"/>
    <x v="16"/>
    <s v="323.2K"/>
    <x v="622"/>
    <n v="7600000"/>
    <n v="323200"/>
    <n v="360600"/>
    <x v="763"/>
    <x v="3"/>
  </r>
  <r>
    <x v="784"/>
    <n v="809"/>
    <x v="29"/>
    <x v="209"/>
    <x v="3"/>
    <s v="83.8K"/>
    <x v="623"/>
    <n v="18300000"/>
    <n v="83800"/>
    <n v="148800"/>
    <x v="764"/>
    <x v="1"/>
  </r>
  <r>
    <x v="785"/>
    <n v="810"/>
    <x v="0"/>
    <x v="340"/>
    <x v="2"/>
    <s v="180.6K"/>
    <x v="624"/>
    <n v="9200000"/>
    <n v="180600"/>
    <n v="298300"/>
    <x v="765"/>
    <x v="3"/>
  </r>
  <r>
    <x v="786"/>
    <n v="811"/>
    <x v="0"/>
    <x v="358"/>
    <x v="12"/>
    <s v="128.6K"/>
    <x v="625"/>
    <n v="14500000"/>
    <n v="128600"/>
    <n v="185500"/>
    <x v="766"/>
    <x v="1"/>
  </r>
  <r>
    <x v="787"/>
    <n v="812"/>
    <x v="3"/>
    <x v="213"/>
    <x v="2"/>
    <s v="104.2K"/>
    <x v="626"/>
    <n v="15200000"/>
    <n v="104200"/>
    <n v="177100"/>
    <x v="767"/>
    <x v="1"/>
  </r>
  <r>
    <x v="788"/>
    <n v="813"/>
    <x v="3"/>
    <x v="334"/>
    <x v="15"/>
    <s v="202.8K"/>
    <x v="627"/>
    <n v="8800000"/>
    <n v="202800"/>
    <n v="314700"/>
    <x v="768"/>
    <x v="3"/>
  </r>
  <r>
    <x v="789"/>
    <n v="814"/>
    <x v="8"/>
    <x v="294"/>
    <x v="0"/>
    <s v="456K"/>
    <x v="628"/>
    <n v="5100000"/>
    <n v="456000"/>
    <n v="537100"/>
    <x v="769"/>
    <x v="3"/>
  </r>
  <r>
    <x v="790"/>
    <n v="815"/>
    <x v="15"/>
    <x v="316"/>
    <x v="2"/>
    <s v="230.5K"/>
    <x v="629"/>
    <n v="7100000"/>
    <n v="230500"/>
    <n v="383300"/>
    <x v="770"/>
    <x v="3"/>
  </r>
  <r>
    <x v="791"/>
    <n v="817"/>
    <x v="61"/>
    <x v="391"/>
    <x v="3"/>
    <s v="618.1K"/>
    <x v="630"/>
    <n v="3500000"/>
    <n v="618100"/>
    <n v="786300"/>
    <x v="771"/>
    <x v="3"/>
  </r>
  <r>
    <x v="792"/>
    <n v="818"/>
    <x v="133"/>
    <x v="318"/>
    <x v="19"/>
    <s v="185.5K"/>
    <x v="631"/>
    <n v="11800000"/>
    <n v="185500"/>
    <n v="226500"/>
    <x v="772"/>
    <x v="1"/>
  </r>
  <r>
    <x v="793"/>
    <n v="819"/>
    <x v="9"/>
    <x v="364"/>
    <x v="3"/>
    <s v="186.4K"/>
    <x v="632"/>
    <n v="9100000"/>
    <n v="186400"/>
    <n v="300500"/>
    <x v="773"/>
    <x v="3"/>
  </r>
  <r>
    <x v="794"/>
    <n v="820"/>
    <x v="19"/>
    <x v="52"/>
    <x v="4"/>
    <s v="80.2K"/>
    <x v="633"/>
    <n v="26600000"/>
    <n v="80200"/>
    <n v="100800"/>
    <x v="774"/>
    <x v="1"/>
  </r>
  <r>
    <x v="795"/>
    <n v="821"/>
    <x v="134"/>
    <x v="263"/>
    <x v="27"/>
    <s v="257.2K"/>
    <x v="634"/>
    <n v="9900000"/>
    <n v="257200"/>
    <n v="273900"/>
    <x v="775"/>
    <x v="3"/>
  </r>
  <r>
    <x v="796"/>
    <n v="822"/>
    <x v="9"/>
    <x v="168"/>
    <x v="4"/>
    <s v="193.9K"/>
    <x v="635"/>
    <n v="10700000"/>
    <n v="193900"/>
    <n v="247600"/>
    <x v="776"/>
    <x v="1"/>
  </r>
  <r>
    <x v="797"/>
    <n v="823"/>
    <x v="29"/>
    <x v="392"/>
    <x v="7"/>
    <s v="102.1K"/>
    <x v="636"/>
    <n v="18800000"/>
    <n v="102100"/>
    <n v="140800"/>
    <x v="777"/>
    <x v="1"/>
  </r>
  <r>
    <x v="798"/>
    <n v="824"/>
    <x v="3"/>
    <x v="380"/>
    <x v="4"/>
    <s v="540.2K"/>
    <x v="637"/>
    <n v="4099999.9999999995"/>
    <n v="540200"/>
    <n v="654900"/>
    <x v="778"/>
    <x v="3"/>
  </r>
  <r>
    <x v="799"/>
    <n v="825"/>
    <x v="9"/>
    <x v="308"/>
    <x v="4"/>
    <s v="340.9K"/>
    <x v="638"/>
    <n v="6000000"/>
    <n v="340900"/>
    <n v="449400"/>
    <x v="779"/>
    <x v="3"/>
  </r>
  <r>
    <x v="800"/>
    <n v="826"/>
    <x v="19"/>
    <x v="289"/>
    <x v="6"/>
    <s v="289.9K"/>
    <x v="639"/>
    <n v="8100000"/>
    <n v="289900"/>
    <n v="331600"/>
    <x v="780"/>
    <x v="3"/>
  </r>
  <r>
    <x v="801"/>
    <n v="827"/>
    <x v="8"/>
    <x v="369"/>
    <x v="4"/>
    <s v="452.2K"/>
    <x v="640"/>
    <n v="4500000"/>
    <n v="452200"/>
    <n v="599200"/>
    <x v="781"/>
    <x v="3"/>
  </r>
  <r>
    <x v="802"/>
    <n v="828"/>
    <x v="8"/>
    <x v="329"/>
    <x v="12"/>
    <s v="167.3K"/>
    <x v="641"/>
    <n v="11700000"/>
    <n v="167300"/>
    <n v="225400"/>
    <x v="782"/>
    <x v="1"/>
  </r>
  <r>
    <x v="803"/>
    <n v="829"/>
    <x v="120"/>
    <x v="256"/>
    <x v="7"/>
    <s v="116.7K"/>
    <x v="642"/>
    <n v="18400000"/>
    <n v="116700"/>
    <n v="143400"/>
    <x v="783"/>
    <x v="1"/>
  </r>
  <r>
    <x v="804"/>
    <n v="830"/>
    <x v="8"/>
    <x v="117"/>
    <x v="3"/>
    <s v="100K"/>
    <x v="643"/>
    <n v="20900000"/>
    <n v="100000"/>
    <n v="127300"/>
    <x v="784"/>
    <x v="1"/>
  </r>
  <r>
    <x v="805"/>
    <n v="831"/>
    <x v="61"/>
    <x v="372"/>
    <x v="2"/>
    <s v="509K"/>
    <x v="103"/>
    <n v="3000000"/>
    <n v="509000"/>
    <n v="1000000"/>
    <x v="785"/>
    <x v="3"/>
  </r>
  <r>
    <x v="806"/>
    <n v="832"/>
    <x v="62"/>
    <x v="169"/>
    <x v="2"/>
    <s v="173.7K"/>
    <x v="644"/>
    <n v="10300000"/>
    <n v="173700"/>
    <n v="256000"/>
    <x v="786"/>
    <x v="1"/>
  </r>
  <r>
    <x v="807"/>
    <n v="833"/>
    <x v="9"/>
    <x v="200"/>
    <x v="3"/>
    <s v="76.9K"/>
    <x v="645"/>
    <n v="10000000"/>
    <n v="76900"/>
    <n v="270300"/>
    <x v="787"/>
    <x v="1"/>
  </r>
  <r>
    <x v="808"/>
    <n v="834"/>
    <x v="122"/>
    <x v="263"/>
    <x v="3"/>
    <s v="172.6K"/>
    <x v="646"/>
    <n v="9900000"/>
    <n v="172600"/>
    <n v="269200"/>
    <x v="788"/>
    <x v="3"/>
  </r>
  <r>
    <x v="809"/>
    <n v="835"/>
    <x v="135"/>
    <x v="193"/>
    <x v="2"/>
    <s v="193.5K"/>
    <x v="647"/>
    <n v="9000000"/>
    <n v="193500"/>
    <n v="295700"/>
    <x v="789"/>
    <x v="3"/>
  </r>
  <r>
    <x v="810"/>
    <n v="836"/>
    <x v="0"/>
    <x v="149"/>
    <x v="30"/>
    <s v="113K"/>
    <x v="648"/>
    <n v="14100000"/>
    <n v="113000"/>
    <n v="186300"/>
    <x v="790"/>
    <x v="1"/>
  </r>
  <r>
    <x v="811"/>
    <n v="837"/>
    <x v="88"/>
    <x v="183"/>
    <x v="2"/>
    <s v="160.8K"/>
    <x v="649"/>
    <n v="12300000"/>
    <n v="160800"/>
    <n v="214200"/>
    <x v="791"/>
    <x v="1"/>
  </r>
  <r>
    <x v="812"/>
    <n v="839"/>
    <x v="0"/>
    <x v="358"/>
    <x v="12"/>
    <s v="116.5K"/>
    <x v="650"/>
    <n v="14500000"/>
    <n v="116500"/>
    <n v="178900"/>
    <x v="792"/>
    <x v="1"/>
  </r>
  <r>
    <x v="813"/>
    <n v="840"/>
    <x v="61"/>
    <x v="346"/>
    <x v="2"/>
    <s v="299.7K"/>
    <x v="651"/>
    <n v="6100000"/>
    <n v="299700"/>
    <n v="431500"/>
    <x v="793"/>
    <x v="3"/>
  </r>
  <r>
    <x v="814"/>
    <n v="841"/>
    <x v="50"/>
    <x v="393"/>
    <x v="2"/>
    <s v="20.6K"/>
    <x v="652"/>
    <n v="123700000"/>
    <n v="20600"/>
    <n v="21100"/>
    <x v="794"/>
    <x v="0"/>
  </r>
  <r>
    <x v="815"/>
    <n v="842"/>
    <x v="61"/>
    <x v="289"/>
    <x v="2"/>
    <s v="204.9K"/>
    <x v="653"/>
    <n v="8100000"/>
    <n v="204900"/>
    <n v="323200"/>
    <x v="795"/>
    <x v="3"/>
  </r>
  <r>
    <x v="816"/>
    <n v="843"/>
    <x v="47"/>
    <x v="317"/>
    <x v="2"/>
    <s v="218.9K"/>
    <x v="654"/>
    <n v="7400000"/>
    <n v="218900"/>
    <n v="353700"/>
    <x v="796"/>
    <x v="3"/>
  </r>
  <r>
    <x v="817"/>
    <n v="844"/>
    <x v="61"/>
    <x v="366"/>
    <x v="17"/>
    <n v="0"/>
    <x v="30"/>
    <m/>
    <m/>
    <m/>
    <x v="200"/>
    <x v="4"/>
  </r>
  <r>
    <x v="818"/>
    <n v="845"/>
    <x v="3"/>
    <x v="93"/>
    <x v="4"/>
    <s v="240.1K"/>
    <x v="655"/>
    <n v="9600000"/>
    <n v="240100"/>
    <n v="269600"/>
    <x v="797"/>
    <x v="3"/>
  </r>
  <r>
    <x v="819"/>
    <n v="846"/>
    <x v="3"/>
    <x v="133"/>
    <x v="3"/>
    <s v="64.7K"/>
    <x v="656"/>
    <n v="27400000"/>
    <n v="64700"/>
    <n v="95800"/>
    <x v="798"/>
    <x v="1"/>
  </r>
  <r>
    <x v="820"/>
    <n v="847"/>
    <x v="136"/>
    <x v="167"/>
    <x v="0"/>
    <s v="87.3K"/>
    <x v="657"/>
    <n v="24300000"/>
    <n v="87300"/>
    <n v="105700"/>
    <x v="799"/>
    <x v="1"/>
  </r>
  <r>
    <x v="821"/>
    <n v="848"/>
    <x v="28"/>
    <x v="308"/>
    <x v="0"/>
    <s v="342.5K"/>
    <x v="658"/>
    <n v="6000000"/>
    <n v="342500"/>
    <n v="433600"/>
    <x v="800"/>
    <x v="3"/>
  </r>
  <r>
    <x v="822"/>
    <n v="849"/>
    <x v="74"/>
    <x v="348"/>
    <x v="7"/>
    <s v="303.5K"/>
    <x v="659"/>
    <n v="7000000"/>
    <n v="303500"/>
    <n v="374400"/>
    <x v="801"/>
    <x v="3"/>
  </r>
  <r>
    <x v="823"/>
    <n v="850"/>
    <x v="8"/>
    <x v="239"/>
    <x v="4"/>
    <s v="364.2K"/>
    <x v="660"/>
    <n v="5500000"/>
    <n v="364200"/>
    <n v="465300"/>
    <x v="802"/>
    <x v="3"/>
  </r>
  <r>
    <x v="824"/>
    <n v="858"/>
    <x v="9"/>
    <x v="180"/>
    <x v="31"/>
    <s v="279.9K"/>
    <x v="374"/>
    <n v="6900000"/>
    <n v="279900"/>
    <n v="370600"/>
    <x v="803"/>
    <x v="3"/>
  </r>
  <r>
    <x v="825"/>
    <n v="859"/>
    <x v="0"/>
    <x v="299"/>
    <x v="4"/>
    <s v="48.9K"/>
    <x v="661"/>
    <n v="34800000"/>
    <n v="48900"/>
    <n v="72700"/>
    <x v="804"/>
    <x v="1"/>
  </r>
  <r>
    <x v="826"/>
    <n v="860"/>
    <x v="3"/>
    <x v="155"/>
    <x v="3"/>
    <s v="95.9K"/>
    <x v="662"/>
    <n v="15900000"/>
    <n v="95900"/>
    <n v="158300"/>
    <x v="805"/>
    <x v="1"/>
  </r>
  <r>
    <x v="827"/>
    <n v="861"/>
    <x v="9"/>
    <x v="389"/>
    <x v="3"/>
    <s v="147.9K"/>
    <x v="663"/>
    <n v="6800000"/>
    <n v="147900"/>
    <n v="379400"/>
    <x v="806"/>
    <x v="3"/>
  </r>
  <r>
    <x v="828"/>
    <n v="862"/>
    <x v="62"/>
    <x v="153"/>
    <x v="7"/>
    <s v="213.8K"/>
    <x v="664"/>
    <n v="9800000"/>
    <n v="213800"/>
    <n v="262400"/>
    <x v="807"/>
    <x v="3"/>
  </r>
  <r>
    <x v="829"/>
    <n v="863"/>
    <x v="0"/>
    <x v="93"/>
    <x v="12"/>
    <s v="205.3K"/>
    <x v="665"/>
    <n v="9600000"/>
    <n v="205300"/>
    <n v="265400"/>
    <x v="808"/>
    <x v="3"/>
  </r>
  <r>
    <x v="830"/>
    <n v="864"/>
    <x v="3"/>
    <x v="194"/>
    <x v="6"/>
    <s v="113.6K"/>
    <x v="666"/>
    <n v="15500000"/>
    <n v="113600"/>
    <n v="162800"/>
    <x v="809"/>
    <x v="1"/>
  </r>
  <r>
    <x v="831"/>
    <n v="865"/>
    <x v="84"/>
    <x v="116"/>
    <x v="2"/>
    <s v="102K"/>
    <x v="667"/>
    <n v="19000000"/>
    <n v="102000"/>
    <n v="131200"/>
    <x v="810"/>
    <x v="1"/>
  </r>
  <r>
    <x v="832"/>
    <n v="866"/>
    <x v="8"/>
    <x v="84"/>
    <x v="0"/>
    <s v="151.5K"/>
    <x v="563"/>
    <n v="14400000"/>
    <n v="151500"/>
    <n v="172800"/>
    <x v="811"/>
    <x v="1"/>
  </r>
  <r>
    <x v="833"/>
    <n v="867"/>
    <x v="62"/>
    <x v="252"/>
    <x v="14"/>
    <s v="277.1K"/>
    <x v="668"/>
    <n v="7300000"/>
    <n v="277100"/>
    <n v="350100"/>
    <x v="812"/>
    <x v="3"/>
  </r>
  <r>
    <x v="834"/>
    <n v="869"/>
    <x v="46"/>
    <x v="394"/>
    <x v="0"/>
    <s v="677K"/>
    <x v="669"/>
    <n v="3200000"/>
    <n v="677000"/>
    <n v="777000"/>
    <x v="813"/>
    <x v="3"/>
  </r>
  <r>
    <x v="835"/>
    <n v="870"/>
    <x v="27"/>
    <x v="395"/>
    <x v="3"/>
    <s v="67.2K"/>
    <x v="670"/>
    <n v="25300000"/>
    <n v="67200"/>
    <n v="97800"/>
    <x v="814"/>
    <x v="1"/>
  </r>
  <r>
    <x v="836"/>
    <n v="871"/>
    <x v="0"/>
    <x v="396"/>
    <x v="2"/>
    <s v="64.8K"/>
    <x v="671"/>
    <n v="19300000"/>
    <n v="64800"/>
    <n v="128400"/>
    <x v="815"/>
    <x v="1"/>
  </r>
  <r>
    <x v="837"/>
    <n v="872"/>
    <x v="7"/>
    <x v="397"/>
    <x v="2"/>
    <s v="137.9K"/>
    <x v="672"/>
    <n v="12700000"/>
    <n v="137900"/>
    <n v="193200"/>
    <x v="816"/>
    <x v="1"/>
  </r>
  <r>
    <x v="838"/>
    <n v="873"/>
    <x v="22"/>
    <x v="160"/>
    <x v="0"/>
    <s v="246.4K"/>
    <x v="673"/>
    <n v="8500000"/>
    <n v="246400"/>
    <n v="293800"/>
    <x v="817"/>
    <x v="3"/>
  </r>
  <r>
    <x v="839"/>
    <n v="874"/>
    <x v="0"/>
    <x v="398"/>
    <x v="20"/>
    <s v="414.4K"/>
    <x v="674"/>
    <n v="4000000"/>
    <n v="414400"/>
    <n v="622500"/>
    <x v="818"/>
    <x v="3"/>
  </r>
  <r>
    <x v="840"/>
    <n v="875"/>
    <x v="16"/>
    <x v="399"/>
    <x v="3"/>
    <s v="81.1K"/>
    <x v="675"/>
    <n v="22000000"/>
    <n v="81100"/>
    <n v="111600"/>
    <x v="819"/>
    <x v="1"/>
  </r>
  <r>
    <x v="841"/>
    <n v="876"/>
    <x v="0"/>
    <x v="214"/>
    <x v="12"/>
    <s v="278.8K"/>
    <x v="676"/>
    <n v="6300000"/>
    <n v="278800"/>
    <n v="395000"/>
    <x v="820"/>
    <x v="3"/>
  </r>
  <r>
    <x v="842"/>
    <n v="878"/>
    <x v="137"/>
    <x v="301"/>
    <x v="0"/>
    <s v="124.3K"/>
    <x v="677"/>
    <n v="16200000"/>
    <n v="124300"/>
    <n v="150000"/>
    <x v="821"/>
    <x v="1"/>
  </r>
  <r>
    <x v="843"/>
    <n v="879"/>
    <x v="0"/>
    <x v="263"/>
    <x v="3"/>
    <s v="167K"/>
    <x v="678"/>
    <n v="9900000"/>
    <n v="167000"/>
    <n v="252500"/>
    <x v="822"/>
    <x v="3"/>
  </r>
  <r>
    <x v="844"/>
    <n v="880"/>
    <x v="8"/>
    <x v="349"/>
    <x v="2"/>
    <s v="185.8K"/>
    <x v="548"/>
    <n v="11300000"/>
    <n v="185800"/>
    <n v="214400"/>
    <x v="823"/>
    <x v="1"/>
  </r>
  <r>
    <x v="845"/>
    <n v="881"/>
    <x v="3"/>
    <x v="387"/>
    <x v="6"/>
    <s v="272.4K"/>
    <x v="679"/>
    <n v="7500000"/>
    <n v="272400"/>
    <n v="328000"/>
    <x v="824"/>
    <x v="3"/>
  </r>
  <r>
    <x v="846"/>
    <n v="882"/>
    <x v="62"/>
    <x v="377"/>
    <x v="3"/>
    <s v="161.5K"/>
    <x v="680"/>
    <n v="11900000"/>
    <n v="161500"/>
    <n v="202800"/>
    <x v="825"/>
    <x v="1"/>
  </r>
  <r>
    <x v="847"/>
    <n v="883"/>
    <x v="133"/>
    <x v="258"/>
    <x v="6"/>
    <s v="128.2K"/>
    <x v="681"/>
    <n v="14800000"/>
    <n v="128199.99999999999"/>
    <n v="163000"/>
    <x v="826"/>
    <x v="1"/>
  </r>
  <r>
    <x v="848"/>
    <n v="884"/>
    <x v="3"/>
    <x v="329"/>
    <x v="3"/>
    <s v="63.1K"/>
    <x v="682"/>
    <n v="11700000"/>
    <n v="63100"/>
    <n v="205300"/>
    <x v="827"/>
    <x v="1"/>
  </r>
  <r>
    <x v="849"/>
    <n v="885"/>
    <x v="20"/>
    <x v="233"/>
    <x v="2"/>
    <s v="174.7K"/>
    <x v="683"/>
    <n v="8000000"/>
    <n v="174700"/>
    <n v="309200"/>
    <x v="828"/>
    <x v="3"/>
  </r>
  <r>
    <x v="850"/>
    <n v="886"/>
    <x v="138"/>
    <x v="400"/>
    <x v="10"/>
    <s v="112.8K"/>
    <x v="684"/>
    <n v="15700000"/>
    <n v="112800"/>
    <n v="152600"/>
    <x v="829"/>
    <x v="1"/>
  </r>
  <r>
    <x v="851"/>
    <n v="887"/>
    <x v="9"/>
    <x v="335"/>
    <x v="19"/>
    <s v="473.2K"/>
    <x v="685"/>
    <n v="3700000"/>
    <n v="473200"/>
    <n v="646400"/>
    <x v="830"/>
    <x v="3"/>
  </r>
  <r>
    <x v="852"/>
    <n v="888"/>
    <x v="8"/>
    <x v="401"/>
    <x v="4"/>
    <s v="542.9K"/>
    <x v="686"/>
    <n v="3600000"/>
    <n v="542900"/>
    <n v="669300"/>
    <x v="831"/>
    <x v="3"/>
  </r>
  <r>
    <x v="853"/>
    <n v="889"/>
    <x v="3"/>
    <x v="402"/>
    <x v="4"/>
    <s v="71.9K"/>
    <x v="687"/>
    <n v="21000000"/>
    <n v="71900"/>
    <n v="113600"/>
    <x v="832"/>
    <x v="1"/>
  </r>
  <r>
    <x v="854"/>
    <n v="890"/>
    <x v="114"/>
    <x v="112"/>
    <x v="2"/>
    <s v="167.2K"/>
    <x v="688"/>
    <n v="12100000"/>
    <n v="167200"/>
    <n v="197800"/>
    <x v="833"/>
    <x v="1"/>
  </r>
  <r>
    <x v="855"/>
    <n v="891"/>
    <x v="61"/>
    <x v="372"/>
    <x v="14"/>
    <s v="674.8K"/>
    <x v="689"/>
    <n v="3000000"/>
    <n v="674800"/>
    <n v="813200"/>
    <x v="834"/>
    <x v="3"/>
  </r>
  <r>
    <x v="856"/>
    <n v="892"/>
    <x v="8"/>
    <x v="251"/>
    <x v="12"/>
    <s v="150.1K"/>
    <x v="690"/>
    <n v="12000000"/>
    <n v="150100"/>
    <n v="198000"/>
    <x v="835"/>
    <x v="1"/>
  </r>
  <r>
    <x v="857"/>
    <n v="893"/>
    <x v="61"/>
    <x v="250"/>
    <x v="2"/>
    <s v="248.9K"/>
    <x v="691"/>
    <n v="6500000"/>
    <n v="248900"/>
    <n v="376600"/>
    <x v="836"/>
    <x v="3"/>
  </r>
  <r>
    <x v="858"/>
    <n v="894"/>
    <x v="114"/>
    <x v="391"/>
    <x v="6"/>
    <s v="459.2K"/>
    <x v="692"/>
    <n v="3500000"/>
    <n v="459200"/>
    <n v="679700"/>
    <x v="837"/>
    <x v="3"/>
  </r>
  <r>
    <x v="859"/>
    <n v="896"/>
    <x v="3"/>
    <x v="365"/>
    <x v="27"/>
    <s v="536.8K"/>
    <x v="693"/>
    <n v="4400000"/>
    <n v="536800"/>
    <n v="559800"/>
    <x v="838"/>
    <x v="3"/>
  </r>
  <r>
    <x v="860"/>
    <n v="897"/>
    <x v="19"/>
    <x v="370"/>
    <x v="3"/>
    <s v="70.7K"/>
    <x v="694"/>
    <n v="15400000"/>
    <n v="70700"/>
    <n v="154400"/>
    <x v="839"/>
    <x v="1"/>
  </r>
  <r>
    <x v="861"/>
    <n v="898"/>
    <x v="62"/>
    <x v="107"/>
    <x v="3"/>
    <s v="93.1K"/>
    <x v="695"/>
    <n v="20400000"/>
    <n v="93100"/>
    <n v="117400"/>
    <x v="840"/>
    <x v="1"/>
  </r>
  <r>
    <x v="862"/>
    <n v="899"/>
    <x v="59"/>
    <x v="254"/>
    <x v="2"/>
    <s v="151.7K"/>
    <x v="696"/>
    <n v="12800000"/>
    <n v="151700"/>
    <n v="185400"/>
    <x v="841"/>
    <x v="1"/>
  </r>
  <r>
    <x v="863"/>
    <n v="900"/>
    <x v="3"/>
    <x v="388"/>
    <x v="2"/>
    <s v="336.5K"/>
    <x v="697"/>
    <n v="4600000"/>
    <n v="336500"/>
    <n v="518900"/>
    <x v="842"/>
    <x v="3"/>
  </r>
  <r>
    <x v="864"/>
    <n v="901"/>
    <x v="3"/>
    <x v="193"/>
    <x v="3"/>
    <s v="184.4K"/>
    <x v="698"/>
    <n v="9000000"/>
    <n v="184400"/>
    <n v="262500"/>
    <x v="843"/>
    <x v="3"/>
  </r>
  <r>
    <x v="865"/>
    <n v="902"/>
    <x v="9"/>
    <x v="178"/>
    <x v="2"/>
    <s v="89.6K"/>
    <x v="699"/>
    <n v="16600000.000000002"/>
    <n v="89600"/>
    <n v="139800"/>
    <x v="844"/>
    <x v="1"/>
  </r>
  <r>
    <x v="866"/>
    <n v="903"/>
    <x v="8"/>
    <x v="346"/>
    <x v="0"/>
    <s v="338K"/>
    <x v="143"/>
    <n v="6100000"/>
    <n v="338000"/>
    <n v="382500"/>
    <x v="845"/>
    <x v="3"/>
  </r>
  <r>
    <x v="867"/>
    <n v="905"/>
    <x v="9"/>
    <x v="335"/>
    <x v="19"/>
    <s v="481.5K"/>
    <x v="700"/>
    <n v="3700000"/>
    <n v="481500"/>
    <n v="633300"/>
    <x v="846"/>
    <x v="3"/>
  </r>
  <r>
    <x v="868"/>
    <n v="906"/>
    <x v="133"/>
    <x v="208"/>
    <x v="11"/>
    <s v="194.8K"/>
    <x v="701"/>
    <n v="9400000"/>
    <n v="194800"/>
    <n v="249600"/>
    <x v="847"/>
    <x v="3"/>
  </r>
  <r>
    <x v="869"/>
    <n v="907"/>
    <x v="9"/>
    <x v="208"/>
    <x v="2"/>
    <s v="158.2K"/>
    <x v="702"/>
    <n v="9400000"/>
    <n v="158200"/>
    <n v="247400"/>
    <x v="848"/>
    <x v="3"/>
  </r>
  <r>
    <x v="870"/>
    <n v="908"/>
    <x v="139"/>
    <x v="198"/>
    <x v="3"/>
    <s v="113.6K"/>
    <x v="703"/>
    <n v="15100000"/>
    <n v="113600"/>
    <n v="160700"/>
    <x v="849"/>
    <x v="1"/>
  </r>
  <r>
    <x v="871"/>
    <n v="909"/>
    <x v="20"/>
    <x v="391"/>
    <x v="7"/>
    <s v="528.5K"/>
    <x v="704"/>
    <n v="3500000"/>
    <n v="528500"/>
    <n v="676700"/>
    <x v="850"/>
    <x v="3"/>
  </r>
  <r>
    <x v="872"/>
    <n v="910"/>
    <x v="140"/>
    <x v="122"/>
    <x v="2"/>
    <s v="91.3K"/>
    <x v="705"/>
    <n v="21300000"/>
    <n v="91300"/>
    <n v="108300"/>
    <x v="851"/>
    <x v="1"/>
  </r>
  <r>
    <x v="873"/>
    <n v="911"/>
    <x v="77"/>
    <x v="222"/>
    <x v="2"/>
    <s v="190.3K"/>
    <x v="706"/>
    <n v="9300000"/>
    <n v="190300"/>
    <n v="249100"/>
    <x v="852"/>
    <x v="3"/>
  </r>
  <r>
    <x v="874"/>
    <n v="912"/>
    <x v="0"/>
    <x v="174"/>
    <x v="12"/>
    <s v="111.7K"/>
    <x v="707"/>
    <n v="13500000"/>
    <n v="111700"/>
    <n v="168100"/>
    <x v="853"/>
    <x v="1"/>
  </r>
  <r>
    <x v="875"/>
    <n v="913"/>
    <x v="3"/>
    <x v="256"/>
    <x v="9"/>
    <s v="83.7K"/>
    <x v="708"/>
    <n v="18400000"/>
    <n v="83700"/>
    <n v="125600"/>
    <x v="854"/>
    <x v="1"/>
  </r>
  <r>
    <x v="876"/>
    <n v="914"/>
    <x v="9"/>
    <x v="398"/>
    <x v="7"/>
    <s v="520.5K"/>
    <x v="709"/>
    <n v="4000000"/>
    <n v="520500"/>
    <n v="577400"/>
    <x v="855"/>
    <x v="3"/>
  </r>
  <r>
    <x v="877"/>
    <n v="915"/>
    <x v="65"/>
    <x v="373"/>
    <x v="3"/>
    <s v="54.6K"/>
    <x v="710"/>
    <n v="21500000"/>
    <n v="54600"/>
    <n v="105300"/>
    <x v="856"/>
    <x v="1"/>
  </r>
  <r>
    <x v="878"/>
    <n v="916"/>
    <x v="3"/>
    <x v="178"/>
    <x v="3"/>
    <s v="98.2K"/>
    <x v="711"/>
    <n v="16600000.000000002"/>
    <n v="98200"/>
    <n v="136700"/>
    <x v="857"/>
    <x v="1"/>
  </r>
  <r>
    <x v="879"/>
    <n v="917"/>
    <x v="9"/>
    <x v="391"/>
    <x v="8"/>
    <s v="586.8K"/>
    <x v="712"/>
    <n v="3500000"/>
    <n v="586800"/>
    <n v="662400"/>
    <x v="858"/>
    <x v="3"/>
  </r>
  <r>
    <x v="880"/>
    <n v="918"/>
    <x v="9"/>
    <x v="335"/>
    <x v="9"/>
    <s v="417.9K"/>
    <x v="713"/>
    <n v="3700000"/>
    <n v="417900"/>
    <n v="619600"/>
    <x v="859"/>
    <x v="3"/>
  </r>
  <r>
    <x v="881"/>
    <n v="919"/>
    <x v="62"/>
    <x v="387"/>
    <x v="2"/>
    <s v="144.5K"/>
    <x v="714"/>
    <n v="7500000"/>
    <n v="144500"/>
    <n v="305900"/>
    <x v="860"/>
    <x v="3"/>
  </r>
  <r>
    <x v="882"/>
    <n v="920"/>
    <x v="27"/>
    <x v="403"/>
    <x v="14"/>
    <s v="101.3K"/>
    <x v="715"/>
    <n v="16300000"/>
    <n v="101300"/>
    <n v="139000"/>
    <x v="861"/>
    <x v="1"/>
  </r>
  <r>
    <x v="883"/>
    <n v="921"/>
    <x v="46"/>
    <x v="250"/>
    <x v="11"/>
    <s v="283.8K"/>
    <x v="716"/>
    <n v="6500000"/>
    <n v="283800"/>
    <n v="349300"/>
    <x v="862"/>
    <x v="3"/>
  </r>
  <r>
    <x v="884"/>
    <n v="922"/>
    <x v="61"/>
    <x v="389"/>
    <x v="2"/>
    <s v="293.8K"/>
    <x v="717"/>
    <n v="6800000"/>
    <n v="293800"/>
    <n v="337800"/>
    <x v="863"/>
    <x v="3"/>
  </r>
  <r>
    <x v="885"/>
    <n v="923"/>
    <x v="77"/>
    <x v="404"/>
    <x v="0"/>
    <s v="41.3K"/>
    <x v="718"/>
    <n v="38400000"/>
    <n v="41300"/>
    <n v="58500"/>
    <x v="864"/>
    <x v="1"/>
  </r>
  <r>
    <x v="886"/>
    <n v="924"/>
    <x v="141"/>
    <x v="272"/>
    <x v="0"/>
    <s v="173.1K"/>
    <x v="719"/>
    <n v="10100000"/>
    <n v="173100"/>
    <n v="222000"/>
    <x v="865"/>
    <x v="1"/>
  </r>
  <r>
    <x v="887"/>
    <n v="925"/>
    <x v="27"/>
    <x v="405"/>
    <x v="11"/>
    <s v="266.8K"/>
    <x v="720"/>
    <n v="7200000"/>
    <n v="266800"/>
    <n v="316100"/>
    <x v="866"/>
    <x v="3"/>
  </r>
  <r>
    <x v="888"/>
    <n v="926"/>
    <x v="142"/>
    <x v="316"/>
    <x v="4"/>
    <s v="264.1K"/>
    <x v="721"/>
    <n v="7100000"/>
    <n v="264100"/>
    <n v="318800"/>
    <x v="867"/>
    <x v="3"/>
  </r>
  <r>
    <x v="889"/>
    <n v="927"/>
    <x v="27"/>
    <x v="233"/>
    <x v="3"/>
    <s v="226.8K"/>
    <x v="722"/>
    <n v="8000000"/>
    <n v="226800"/>
    <n v="284300"/>
    <x v="868"/>
    <x v="3"/>
  </r>
  <r>
    <x v="890"/>
    <n v="928"/>
    <x v="62"/>
    <x v="340"/>
    <x v="3"/>
    <s v="75.3K"/>
    <x v="723"/>
    <n v="9200000"/>
    <n v="75300"/>
    <n v="248000"/>
    <x v="869"/>
    <x v="3"/>
  </r>
  <r>
    <x v="891"/>
    <n v="929"/>
    <x v="8"/>
    <x v="351"/>
    <x v="2"/>
    <s v="152.6K"/>
    <x v="724"/>
    <n v="10400000"/>
    <n v="152600"/>
    <n v="213400"/>
    <x v="870"/>
    <x v="1"/>
  </r>
  <r>
    <x v="892"/>
    <n v="930"/>
    <x v="8"/>
    <x v="334"/>
    <x v="2"/>
    <s v="196.6K"/>
    <x v="725"/>
    <n v="8800000"/>
    <n v="196600"/>
    <n v="256700"/>
    <x v="871"/>
    <x v="3"/>
  </r>
  <r>
    <x v="893"/>
    <n v="931"/>
    <x v="84"/>
    <x v="220"/>
    <x v="2"/>
    <s v="76.8K"/>
    <x v="726"/>
    <n v="15300000"/>
    <n v="76800"/>
    <n v="145000"/>
    <x v="872"/>
    <x v="1"/>
  </r>
  <r>
    <x v="894"/>
    <n v="932"/>
    <x v="102"/>
    <x v="234"/>
    <x v="0"/>
    <s v="274K"/>
    <x v="727"/>
    <n v="6600000"/>
    <n v="274000"/>
    <n v="338000"/>
    <x v="873"/>
    <x v="3"/>
  </r>
  <r>
    <x v="895"/>
    <n v="933"/>
    <x v="3"/>
    <x v="154"/>
    <x v="2"/>
    <s v="65.3K"/>
    <x v="728"/>
    <n v="21200000"/>
    <n v="65300"/>
    <n v="105900"/>
    <x v="874"/>
    <x v="1"/>
  </r>
  <r>
    <x v="896"/>
    <n v="934"/>
    <x v="8"/>
    <x v="406"/>
    <x v="0"/>
    <s v="74.1K"/>
    <x v="729"/>
    <n v="26000000"/>
    <n v="74100"/>
    <n v="85300"/>
    <x v="875"/>
    <x v="1"/>
  </r>
  <r>
    <x v="897"/>
    <n v="935"/>
    <x v="8"/>
    <x v="275"/>
    <x v="2"/>
    <s v="130.5K"/>
    <x v="730"/>
    <n v="13400000"/>
    <n v="130500"/>
    <n v="166600"/>
    <x v="876"/>
    <x v="1"/>
  </r>
  <r>
    <x v="898"/>
    <n v="936"/>
    <x v="27"/>
    <x v="160"/>
    <x v="11"/>
    <s v="220K"/>
    <x v="731"/>
    <n v="8500000"/>
    <n v="220000"/>
    <n v="264700"/>
    <x v="877"/>
    <x v="3"/>
  </r>
  <r>
    <x v="899"/>
    <n v="937"/>
    <x v="8"/>
    <x v="289"/>
    <x v="0"/>
    <s v="258.5K"/>
    <x v="732"/>
    <n v="8100000"/>
    <n v="258500"/>
    <n v="278400"/>
    <x v="878"/>
    <x v="3"/>
  </r>
  <r>
    <x v="900"/>
    <n v="938"/>
    <x v="143"/>
    <x v="168"/>
    <x v="4"/>
    <s v="168.8K"/>
    <x v="733"/>
    <n v="10700000"/>
    <n v="168800"/>
    <n v="206100"/>
    <x v="879"/>
    <x v="1"/>
  </r>
  <r>
    <x v="901"/>
    <n v="939"/>
    <x v="30"/>
    <x v="348"/>
    <x v="0"/>
    <s v="252.4K"/>
    <x v="734"/>
    <n v="7000000"/>
    <n v="252400"/>
    <n v="321200"/>
    <x v="880"/>
    <x v="3"/>
  </r>
  <r>
    <x v="902"/>
    <n v="940"/>
    <x v="61"/>
    <x v="398"/>
    <x v="3"/>
    <s v="236.1K"/>
    <x v="735"/>
    <n v="4000000"/>
    <n v="236100"/>
    <n v="561700"/>
    <x v="881"/>
    <x v="3"/>
  </r>
  <r>
    <x v="903"/>
    <n v="942"/>
    <x v="34"/>
    <x v="153"/>
    <x v="9"/>
    <s v="185.8K"/>
    <x v="736"/>
    <n v="9800000"/>
    <n v="185800"/>
    <n v="230900"/>
    <x v="882"/>
    <x v="3"/>
  </r>
  <r>
    <x v="904"/>
    <n v="943"/>
    <x v="9"/>
    <x v="169"/>
    <x v="32"/>
    <s v="147.5K"/>
    <x v="737"/>
    <n v="10300000"/>
    <n v="147500"/>
    <n v="212900"/>
    <x v="883"/>
    <x v="1"/>
  </r>
  <r>
    <x v="905"/>
    <n v="944"/>
    <x v="50"/>
    <x v="407"/>
    <x v="2"/>
    <s v="102.8K"/>
    <x v="257"/>
    <n v="17800000"/>
    <n v="102800"/>
    <n v="123400"/>
    <x v="884"/>
    <x v="1"/>
  </r>
  <r>
    <x v="906"/>
    <n v="945"/>
    <x v="74"/>
    <x v="373"/>
    <x v="4"/>
    <s v="73.6K"/>
    <x v="738"/>
    <n v="21500000"/>
    <n v="73600"/>
    <n v="101400"/>
    <x v="885"/>
    <x v="1"/>
  </r>
  <r>
    <x v="907"/>
    <n v="946"/>
    <x v="59"/>
    <x v="317"/>
    <x v="12"/>
    <s v="247.3K"/>
    <x v="739"/>
    <n v="7400000"/>
    <n v="247300"/>
    <n v="297800"/>
    <x v="886"/>
    <x v="3"/>
  </r>
  <r>
    <x v="908"/>
    <n v="947"/>
    <x v="144"/>
    <x v="294"/>
    <x v="2"/>
    <s v="310.9K"/>
    <x v="740"/>
    <n v="5100000"/>
    <n v="310900"/>
    <n v="438100"/>
    <x v="887"/>
    <x v="3"/>
  </r>
  <r>
    <x v="909"/>
    <n v="948"/>
    <x v="8"/>
    <x v="408"/>
    <x v="3"/>
    <s v="119.2K"/>
    <x v="741"/>
    <n v="11200000"/>
    <n v="119200"/>
    <n v="197200"/>
    <x v="888"/>
    <x v="1"/>
  </r>
  <r>
    <x v="910"/>
    <n v="949"/>
    <x v="0"/>
    <x v="264"/>
    <x v="2"/>
    <s v="109.8K"/>
    <x v="742"/>
    <n v="11600000"/>
    <n v="109800"/>
    <n v="188400"/>
    <x v="889"/>
    <x v="1"/>
  </r>
  <r>
    <x v="911"/>
    <n v="950"/>
    <x v="10"/>
    <x v="176"/>
    <x v="2"/>
    <s v="102K"/>
    <x v="743"/>
    <n v="14600000"/>
    <n v="102000"/>
    <n v="149300"/>
    <x v="890"/>
    <x v="1"/>
  </r>
  <r>
    <x v="912"/>
    <n v="952"/>
    <x v="8"/>
    <x v="124"/>
    <x v="3"/>
    <s v="77.8K"/>
    <x v="440"/>
    <n v="16800000"/>
    <n v="77800"/>
    <n v="129199.99999999999"/>
    <x v="891"/>
    <x v="1"/>
  </r>
  <r>
    <x v="913"/>
    <n v="953"/>
    <x v="48"/>
    <x v="292"/>
    <x v="4"/>
    <s v="119.3K"/>
    <x v="744"/>
    <n v="13900000"/>
    <n v="119300"/>
    <n v="155900"/>
    <x v="892"/>
    <x v="1"/>
  </r>
  <r>
    <x v="914"/>
    <n v="954"/>
    <x v="3"/>
    <x v="292"/>
    <x v="2"/>
    <s v="109.3K"/>
    <x v="744"/>
    <n v="13900000"/>
    <n v="109300"/>
    <n v="155900"/>
    <x v="893"/>
    <x v="1"/>
  </r>
  <r>
    <x v="915"/>
    <n v="955"/>
    <x v="145"/>
    <x v="180"/>
    <x v="2"/>
    <s v="225.8K"/>
    <x v="745"/>
    <n v="6900000"/>
    <n v="225800"/>
    <n v="316700"/>
    <x v="894"/>
    <x v="3"/>
  </r>
  <r>
    <x v="916"/>
    <n v="956"/>
    <x v="29"/>
    <x v="409"/>
    <x v="2"/>
    <s v="82.5K"/>
    <x v="746"/>
    <n v="19700000"/>
    <n v="82500"/>
    <n v="109700"/>
    <x v="895"/>
    <x v="1"/>
  </r>
  <r>
    <x v="917"/>
    <n v="957"/>
    <x v="146"/>
    <x v="344"/>
    <x v="3"/>
    <s v="399.6K"/>
    <x v="747"/>
    <n v="4700000"/>
    <n v="399600"/>
    <n v="479500"/>
    <x v="896"/>
    <x v="3"/>
  </r>
  <r>
    <x v="918"/>
    <n v="958"/>
    <x v="9"/>
    <x v="142"/>
    <x v="4"/>
    <s v="112.9K"/>
    <x v="748"/>
    <n v="13600000"/>
    <n v="112900"/>
    <n v="159000"/>
    <x v="897"/>
    <x v="1"/>
  </r>
  <r>
    <x v="919"/>
    <n v="959"/>
    <x v="29"/>
    <x v="379"/>
    <x v="2"/>
    <s v="190.2K"/>
    <x v="749"/>
    <n v="7700000"/>
    <n v="190200"/>
    <n v="283900"/>
    <x v="898"/>
    <x v="3"/>
  </r>
  <r>
    <x v="920"/>
    <n v="960"/>
    <x v="147"/>
    <x v="410"/>
    <x v="0"/>
    <s v="675.1K"/>
    <x v="750"/>
    <n v="2600000"/>
    <n v="675100"/>
    <n v="840600"/>
    <x v="899"/>
    <x v="3"/>
  </r>
  <r>
    <x v="921"/>
    <n v="961"/>
    <x v="148"/>
    <x v="104"/>
    <x v="0"/>
    <s v="57.9K"/>
    <x v="751"/>
    <n v="27800000"/>
    <n v="57900"/>
    <n v="77300"/>
    <x v="900"/>
    <x v="1"/>
  </r>
  <r>
    <x v="922"/>
    <n v="962"/>
    <x v="50"/>
    <x v="107"/>
    <x v="0"/>
    <s v="92K"/>
    <x v="728"/>
    <n v="20400000"/>
    <n v="92000"/>
    <n v="105900"/>
    <x v="901"/>
    <x v="1"/>
  </r>
  <r>
    <x v="923"/>
    <n v="963"/>
    <x v="96"/>
    <x v="207"/>
    <x v="11"/>
    <s v="133.2K"/>
    <x v="752"/>
    <n v="13800000"/>
    <n v="133200"/>
    <n v="155500"/>
    <x v="902"/>
    <x v="1"/>
  </r>
  <r>
    <x v="924"/>
    <n v="964"/>
    <x v="8"/>
    <x v="268"/>
    <x v="0"/>
    <s v="102.1K"/>
    <x v="753"/>
    <n v="17200000"/>
    <n v="102100"/>
    <n v="125300"/>
    <x v="903"/>
    <x v="1"/>
  </r>
  <r>
    <x v="925"/>
    <n v="965"/>
    <x v="149"/>
    <x v="391"/>
    <x v="0"/>
    <s v="527.9K"/>
    <x v="754"/>
    <n v="3500000"/>
    <n v="527900"/>
    <n v="624400"/>
    <x v="904"/>
    <x v="3"/>
  </r>
  <r>
    <x v="926"/>
    <n v="966"/>
    <x v="4"/>
    <x v="411"/>
    <x v="10"/>
    <s v="100.5K"/>
    <x v="755"/>
    <n v="15800000"/>
    <n v="100500"/>
    <n v="134500"/>
    <x v="905"/>
    <x v="1"/>
  </r>
  <r>
    <x v="927"/>
    <n v="967"/>
    <x v="0"/>
    <x v="142"/>
    <x v="3"/>
    <s v="104.7K"/>
    <x v="756"/>
    <n v="13600000"/>
    <n v="104700"/>
    <n v="156100"/>
    <x v="906"/>
    <x v="1"/>
  </r>
  <r>
    <x v="928"/>
    <n v="968"/>
    <x v="8"/>
    <x v="280"/>
    <x v="0"/>
    <s v="126.8K"/>
    <x v="757"/>
    <n v="12200000"/>
    <n v="126800"/>
    <n v="173700"/>
    <x v="907"/>
    <x v="1"/>
  </r>
  <r>
    <x v="929"/>
    <n v="969"/>
    <x v="3"/>
    <x v="384"/>
    <x v="2"/>
    <s v="539.9K"/>
    <x v="758"/>
    <n v="3100000"/>
    <n v="539900"/>
    <n v="692200"/>
    <x v="908"/>
    <x v="3"/>
  </r>
  <r>
    <x v="930"/>
    <n v="970"/>
    <x v="47"/>
    <x v="412"/>
    <x v="2"/>
    <s v="60.9K"/>
    <x v="759"/>
    <n v="24800000"/>
    <n v="60900"/>
    <n v="85500"/>
    <x v="909"/>
    <x v="1"/>
  </r>
  <r>
    <x v="931"/>
    <n v="971"/>
    <x v="59"/>
    <x v="295"/>
    <x v="2"/>
    <s v="233.5K"/>
    <x v="760"/>
    <n v="7900000"/>
    <n v="233500"/>
    <n v="271000"/>
    <x v="910"/>
    <x v="3"/>
  </r>
  <r>
    <x v="932"/>
    <n v="972"/>
    <x v="61"/>
    <x v="394"/>
    <x v="5"/>
    <s v="566.7K"/>
    <x v="761"/>
    <n v="3200000"/>
    <n v="566700"/>
    <n v="665100"/>
    <x v="911"/>
    <x v="3"/>
  </r>
  <r>
    <x v="933"/>
    <n v="973"/>
    <x v="62"/>
    <x v="153"/>
    <x v="3"/>
    <s v="127.8K"/>
    <x v="762"/>
    <n v="9800000"/>
    <n v="127800"/>
    <n v="218900"/>
    <x v="912"/>
    <x v="3"/>
  </r>
  <r>
    <x v="934"/>
    <n v="975"/>
    <x v="88"/>
    <x v="252"/>
    <x v="2"/>
    <s v="214.2K"/>
    <x v="763"/>
    <n v="7300000"/>
    <n v="214200"/>
    <n v="295200"/>
    <x v="913"/>
    <x v="3"/>
  </r>
  <r>
    <x v="935"/>
    <n v="976"/>
    <x v="8"/>
    <x v="232"/>
    <x v="0"/>
    <s v="131.1K"/>
    <x v="764"/>
    <n v="13100000"/>
    <n v="131100"/>
    <n v="160200"/>
    <x v="914"/>
    <x v="1"/>
  </r>
  <r>
    <x v="936"/>
    <n v="977"/>
    <x v="34"/>
    <x v="219"/>
    <x v="21"/>
    <s v="98.8K"/>
    <x v="765"/>
    <n v="15000000"/>
    <n v="98800"/>
    <n v="140400"/>
    <x v="915"/>
    <x v="1"/>
  </r>
  <r>
    <x v="937"/>
    <n v="978"/>
    <x v="150"/>
    <x v="369"/>
    <x v="14"/>
    <s v="365.3K"/>
    <x v="766"/>
    <n v="4500000"/>
    <n v="365300"/>
    <n v="481400"/>
    <x v="916"/>
    <x v="3"/>
  </r>
  <r>
    <x v="938"/>
    <n v="979"/>
    <x v="95"/>
    <x v="214"/>
    <x v="22"/>
    <s v="273.4K"/>
    <x v="767"/>
    <n v="6300000"/>
    <n v="273400"/>
    <n v="337500"/>
    <x v="917"/>
    <x v="3"/>
  </r>
  <r>
    <x v="939"/>
    <n v="980"/>
    <x v="151"/>
    <x v="240"/>
    <x v="0"/>
    <s v="220.7K"/>
    <x v="322"/>
    <n v="8199999.9999999991"/>
    <n v="220700"/>
    <n v="256100.00000000003"/>
    <x v="918"/>
    <x v="3"/>
  </r>
  <r>
    <x v="940"/>
    <n v="981"/>
    <x v="152"/>
    <x v="390"/>
    <x v="2"/>
    <s v="34.2K"/>
    <x v="768"/>
    <n v="39600000"/>
    <n v="34200"/>
    <n v="52500"/>
    <x v="919"/>
    <x v="1"/>
  </r>
  <r>
    <x v="941"/>
    <n v="982"/>
    <x v="3"/>
    <x v="372"/>
    <x v="4"/>
    <s v="547K"/>
    <x v="769"/>
    <n v="3000000"/>
    <n v="547000"/>
    <n v="712100"/>
    <x v="920"/>
    <x v="3"/>
  </r>
  <r>
    <x v="942"/>
    <n v="983"/>
    <x v="115"/>
    <x v="246"/>
    <x v="2"/>
    <s v="324.7K"/>
    <x v="274"/>
    <n v="4800000"/>
    <n v="324700"/>
    <n v="439500"/>
    <x v="921"/>
    <x v="3"/>
  </r>
  <r>
    <x v="943"/>
    <n v="984"/>
    <x v="9"/>
    <x v="292"/>
    <x v="2"/>
    <s v="98.2K"/>
    <x v="770"/>
    <n v="13900000"/>
    <n v="98200"/>
    <n v="148200"/>
    <x v="922"/>
    <x v="1"/>
  </r>
  <r>
    <x v="944"/>
    <n v="985"/>
    <x v="153"/>
    <x v="334"/>
    <x v="0"/>
    <s v="191.5K"/>
    <x v="771"/>
    <n v="8800000"/>
    <n v="191500"/>
    <n v="240400"/>
    <x v="923"/>
    <x v="3"/>
  </r>
  <r>
    <x v="945"/>
    <n v="986"/>
    <x v="3"/>
    <x v="272"/>
    <x v="2"/>
    <s v="147.4K"/>
    <x v="772"/>
    <n v="10100000"/>
    <n v="147400"/>
    <n v="203600"/>
    <x v="924"/>
    <x v="1"/>
  </r>
  <r>
    <x v="946"/>
    <n v="987"/>
    <x v="8"/>
    <x v="413"/>
    <x v="4"/>
    <s v="489.8K"/>
    <x v="773"/>
    <n v="3400000"/>
    <n v="489800"/>
    <n v="614300"/>
    <x v="925"/>
    <x v="3"/>
  </r>
  <r>
    <x v="947"/>
    <n v="988"/>
    <x v="9"/>
    <x v="193"/>
    <x v="2"/>
    <s v="176.7K"/>
    <x v="774"/>
    <n v="9000000"/>
    <n v="176700"/>
    <n v="234100"/>
    <x v="926"/>
    <x v="3"/>
  </r>
  <r>
    <x v="948"/>
    <n v="989"/>
    <x v="77"/>
    <x v="361"/>
    <x v="27"/>
    <s v="393.6K"/>
    <x v="775"/>
    <n v="5000000"/>
    <n v="393600"/>
    <n v="422000"/>
    <x v="927"/>
    <x v="3"/>
  </r>
  <r>
    <x v="949"/>
    <n v="990"/>
    <x v="3"/>
    <x v="252"/>
    <x v="4"/>
    <s v="238.2K"/>
    <x v="776"/>
    <n v="7300000"/>
    <n v="238200"/>
    <n v="283700"/>
    <x v="928"/>
    <x v="3"/>
  </r>
  <r>
    <x v="950"/>
    <n v="991"/>
    <x v="3"/>
    <x v="361"/>
    <x v="16"/>
    <s v="337.9K"/>
    <x v="777"/>
    <n v="5000000"/>
    <n v="337900"/>
    <n v="416300"/>
    <x v="929"/>
    <x v="3"/>
  </r>
  <r>
    <x v="951"/>
    <n v="992"/>
    <x v="16"/>
    <x v="189"/>
    <x v="2"/>
    <s v="149.9K"/>
    <x v="778"/>
    <n v="10900000"/>
    <n v="149900"/>
    <n v="188500"/>
    <x v="930"/>
    <x v="1"/>
  </r>
  <r>
    <x v="952"/>
    <n v="993"/>
    <x v="62"/>
    <x v="317"/>
    <x v="4"/>
    <s v="225.6K"/>
    <x v="163"/>
    <n v="7400000"/>
    <n v="225600"/>
    <n v="279500"/>
    <x v="931"/>
    <x v="3"/>
  </r>
  <r>
    <x v="953"/>
    <n v="994"/>
    <x v="30"/>
    <x v="234"/>
    <x v="33"/>
    <s v="267.4K"/>
    <x v="779"/>
    <n v="6600000"/>
    <n v="267400"/>
    <n v="315800"/>
    <x v="932"/>
    <x v="3"/>
  </r>
  <r>
    <x v="954"/>
    <n v="995"/>
    <x v="29"/>
    <x v="361"/>
    <x v="16"/>
    <s v="357.5K"/>
    <x v="780"/>
    <n v="5000000"/>
    <n v="357500"/>
    <n v="412100"/>
    <x v="933"/>
    <x v="3"/>
  </r>
  <r>
    <x v="955"/>
    <n v="996"/>
    <x v="3"/>
    <x v="233"/>
    <x v="0"/>
    <s v="211.1K"/>
    <x v="781"/>
    <n v="8000000"/>
    <n v="211100"/>
    <n v="261800"/>
    <x v="934"/>
    <x v="3"/>
  </r>
  <r>
    <x v="956"/>
    <n v="997"/>
    <x v="154"/>
    <x v="398"/>
    <x v="4"/>
    <s v="434.2K"/>
    <x v="782"/>
    <n v="4000000"/>
    <n v="434200"/>
    <n v="518200.00000000006"/>
    <x v="935"/>
    <x v="3"/>
  </r>
  <r>
    <x v="957"/>
    <n v="998"/>
    <x v="0"/>
    <x v="219"/>
    <x v="8"/>
    <s v="76.4K"/>
    <x v="783"/>
    <n v="15000000"/>
    <n v="76400"/>
    <n v="135500"/>
    <x v="936"/>
    <x v="1"/>
  </r>
  <r>
    <x v="958"/>
    <n v="999"/>
    <x v="61"/>
    <x v="153"/>
    <x v="14"/>
    <s v="135.4K"/>
    <x v="784"/>
    <n v="9800000"/>
    <n v="135400"/>
    <n v="214000"/>
    <x v="937"/>
    <x v="3"/>
  </r>
  <r>
    <x v="959"/>
    <n v="1000"/>
    <x v="62"/>
    <x v="165"/>
    <x v="21"/>
    <s v="117.6K"/>
    <x v="785"/>
    <n v="13000000"/>
    <n v="117600"/>
    <n v="157600"/>
    <x v="93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9C7760-F12F-4D6A-A205-13311CEA63EF}" name="Market Analysi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G3:H11" firstHeaderRow="1" firstDataRow="1" firstDataCol="1"/>
  <pivotFields count="11">
    <pivotField showAll="0"/>
    <pivotField showAll="0"/>
    <pivotField axis="axisRow" showAll="0" sortType="descending">
      <items count="156">
        <item h="1" x="61"/>
        <item h="1" x="154"/>
        <item h="1" x="87"/>
        <item h="1" x="129"/>
        <item h="1" x="124"/>
        <item h="1" x="49"/>
        <item h="1" x="1"/>
        <item h="1" x="97"/>
        <item h="1" x="0"/>
        <item h="1" x="125"/>
        <item h="1" x="145"/>
        <item h="1" x="45"/>
        <item h="1" x="39"/>
        <item h="1" x="120"/>
        <item h="1" x="126"/>
        <item h="1" x="105"/>
        <item h="1" x="50"/>
        <item h="1" x="68"/>
        <item h="1" x="58"/>
        <item h="1" x="62"/>
        <item h="1" x="32"/>
        <item h="1" x="128"/>
        <item h="1" x="48"/>
        <item h="1" x="109"/>
        <item h="1" x="63"/>
        <item h="1" x="14"/>
        <item h="1" x="43"/>
        <item h="1" x="96"/>
        <item h="1" x="112"/>
        <item h="1" x="33"/>
        <item h="1" x="7"/>
        <item h="1" x="101"/>
        <item h="1" x="10"/>
        <item h="1" x="79"/>
        <item h="1" x="80"/>
        <item h="1" x="71"/>
        <item h="1" x="122"/>
        <item h="1" x="70"/>
        <item h="1" x="16"/>
        <item h="1" x="12"/>
        <item h="1" x="53"/>
        <item h="1" x="77"/>
        <item h="1" x="3"/>
        <item h="1" x="127"/>
        <item h="1" x="86"/>
        <item h="1" x="25"/>
        <item h="1" x="15"/>
        <item h="1" x="110"/>
        <item h="1" x="2"/>
        <item h="1" x="31"/>
        <item h="1" x="57"/>
        <item h="1" x="143"/>
        <item h="1" x="29"/>
        <item h="1" x="75"/>
        <item h="1" x="130"/>
        <item h="1" x="99"/>
        <item h="1" x="100"/>
        <item h="1" x="152"/>
        <item h="1" x="150"/>
        <item h="1" x="108"/>
        <item h="1" x="47"/>
        <item h="1" x="119"/>
        <item h="1" x="23"/>
        <item h="1" x="114"/>
        <item h="1" x="121"/>
        <item h="1" x="89"/>
        <item h="1" x="146"/>
        <item h="1" x="28"/>
        <item h="1" x="132"/>
        <item h="1" x="136"/>
        <item h="1" x="30"/>
        <item h="1" x="18"/>
        <item h="1" x="144"/>
        <item h="1" x="95"/>
        <item h="1" x="66"/>
        <item h="1" x="131"/>
        <item h="1" x="46"/>
        <item h="1" x="91"/>
        <item h="1" x="55"/>
        <item h="1" x="9"/>
        <item h="1" x="118"/>
        <item h="1" x="153"/>
        <item h="1" x="42"/>
        <item h="1" x="147"/>
        <item h="1" x="65"/>
        <item h="1" x="52"/>
        <item h="1" x="35"/>
        <item h="1" x="37"/>
        <item h="1" x="84"/>
        <item h="1" x="82"/>
        <item h="1" x="21"/>
        <item h="1" x="104"/>
        <item h="1" x="6"/>
        <item h="1" x="92"/>
        <item h="1" x="113"/>
        <item h="1" x="81"/>
        <item h="1" x="5"/>
        <item h="1" x="102"/>
        <item h="1" x="54"/>
        <item h="1" x="123"/>
        <item h="1" x="51"/>
        <item h="1" x="103"/>
        <item h="1" x="139"/>
        <item h="1" x="60"/>
        <item h="1" x="115"/>
        <item h="1" x="74"/>
        <item h="1" x="111"/>
        <item h="1" x="148"/>
        <item h="1" x="59"/>
        <item h="1" x="69"/>
        <item h="1" x="40"/>
        <item h="1" x="56"/>
        <item h="1" x="11"/>
        <item h="1" x="38"/>
        <item h="1" x="44"/>
        <item h="1" x="22"/>
        <item h="1" x="24"/>
        <item h="1" x="133"/>
        <item h="1" x="76"/>
        <item h="1" x="34"/>
        <item h="1" x="27"/>
        <item h="1" x="134"/>
        <item h="1" x="85"/>
        <item h="1" x="17"/>
        <item h="1" x="4"/>
        <item h="1" x="106"/>
        <item h="1" x="78"/>
        <item h="1" x="90"/>
        <item h="1" x="41"/>
        <item h="1" x="8"/>
        <item h="1" x="93"/>
        <item h="1" x="138"/>
        <item h="1" x="151"/>
        <item h="1" x="94"/>
        <item x="36"/>
        <item x="135"/>
        <item x="142"/>
        <item x="98"/>
        <item x="149"/>
        <item x="67"/>
        <item x="73"/>
        <item x="107"/>
        <item x="64"/>
        <item x="26"/>
        <item x="19"/>
        <item h="1" x="83"/>
        <item h="1" x="117"/>
        <item h="1" x="116"/>
        <item h="1" x="140"/>
        <item h="1" x="13"/>
        <item h="1" x="137"/>
        <item h="1" x="72"/>
        <item h="1" x="20"/>
        <item h="1" x="141"/>
        <item h="1" x="88"/>
        <item t="default"/>
      </items>
      <autoSortScope>
        <pivotArea dataOnly="0" outline="0" fieldPosition="0">
          <references count="1">
            <reference field="4294967294" count="1" selected="0">
              <x v="0"/>
            </reference>
          </references>
        </pivotArea>
      </autoSortScope>
    </pivotField>
    <pivotField showAll="0"/>
    <pivotField multipleItemSelectionAllowed="1" showAll="0">
      <items count="35">
        <item h="1" x="32"/>
        <item h="1" x="28"/>
        <item h="1" x="1"/>
        <item h="1" x="3"/>
        <item h="1" x="30"/>
        <item h="1" x="13"/>
        <item h="1" x="15"/>
        <item h="1" x="10"/>
        <item h="1" x="8"/>
        <item h="1" x="22"/>
        <item x="0"/>
        <item x="4"/>
        <item h="1" x="14"/>
        <item h="1" x="21"/>
        <item h="1" x="9"/>
        <item h="1" x="27"/>
        <item h="1" x="31"/>
        <item h="1" x="6"/>
        <item h="1" x="24"/>
        <item h="1" x="23"/>
        <item h="1" x="33"/>
        <item h="1" x="16"/>
        <item h="1" x="18"/>
        <item h="1" x="7"/>
        <item h="1" x="29"/>
        <item h="1" x="5"/>
        <item h="1" x="12"/>
        <item h="1" x="25"/>
        <item h="1" x="19"/>
        <item h="1" x="11"/>
        <item h="1" x="26"/>
        <item h="1" x="20"/>
        <item h="1" x="2"/>
        <item h="1" x="17"/>
        <item t="default"/>
      </items>
    </pivotField>
    <pivotField showAll="0"/>
    <pivotField showAll="0"/>
    <pivotField showAll="0">
      <items count="414">
        <item x="378"/>
        <item x="408"/>
        <item x="372"/>
        <item x="367"/>
        <item x="410"/>
        <item x="390"/>
        <item x="412"/>
        <item x="385"/>
        <item x="397"/>
        <item x="332"/>
        <item x="366"/>
        <item x="346"/>
        <item x="394"/>
        <item x="387"/>
        <item x="362"/>
        <item x="350"/>
        <item x="360"/>
        <item x="364"/>
        <item x="382"/>
        <item x="407"/>
        <item x="369"/>
        <item x="284"/>
        <item x="356"/>
        <item x="288"/>
        <item x="341"/>
        <item x="307"/>
        <item x="300"/>
        <item x="389"/>
        <item x="313"/>
        <item x="267"/>
        <item x="243"/>
        <item x="303"/>
        <item x="342"/>
        <item x="291"/>
        <item x="292"/>
        <item x="297"/>
        <item x="244"/>
        <item x="402"/>
        <item x="299"/>
        <item x="383"/>
        <item x="180"/>
        <item x="344"/>
        <item x="312"/>
        <item x="401"/>
        <item x="246"/>
        <item x="314"/>
        <item x="381"/>
        <item x="212"/>
        <item x="375"/>
        <item x="270"/>
        <item x="289"/>
        <item x="232"/>
        <item x="283"/>
        <item x="235"/>
        <item x="242"/>
        <item x="241"/>
        <item x="160"/>
        <item x="327"/>
        <item x="213"/>
        <item x="331"/>
        <item x="357"/>
        <item x="194"/>
        <item x="359"/>
        <item x="337"/>
        <item x="221"/>
        <item x="209"/>
        <item x="311"/>
        <item x="93"/>
        <item x="320"/>
        <item x="153"/>
        <item x="256"/>
        <item x="201"/>
        <item x="265"/>
        <item x="215"/>
        <item x="169"/>
        <item x="347"/>
        <item x="247"/>
        <item x="348"/>
        <item x="168"/>
        <item x="150"/>
        <item x="190"/>
        <item x="260"/>
        <item x="216"/>
        <item x="405"/>
        <item x="345"/>
        <item x="325"/>
        <item x="317"/>
        <item x="257"/>
        <item x="326"/>
        <item x="315"/>
        <item x="373"/>
        <item x="245"/>
        <item x="112"/>
        <item x="274"/>
        <item x="184"/>
        <item x="370"/>
        <item x="233"/>
        <item x="120"/>
        <item x="393"/>
        <item x="248"/>
        <item x="211"/>
        <item x="165"/>
        <item x="231"/>
        <item x="290"/>
        <item x="293"/>
        <item x="269"/>
        <item x="174"/>
        <item x="142"/>
        <item x="225"/>
        <item x="208"/>
        <item x="286"/>
        <item x="177"/>
        <item x="149"/>
        <item x="229"/>
        <item x="99"/>
        <item x="84"/>
        <item x="353"/>
        <item x="176"/>
        <item x="237"/>
        <item x="252"/>
        <item x="223"/>
        <item x="218"/>
        <item x="199"/>
        <item x="214"/>
        <item x="219"/>
        <item x="365"/>
        <item x="195"/>
        <item x="374"/>
        <item x="396"/>
        <item x="409"/>
        <item x="155"/>
        <item x="137"/>
        <item x="186"/>
        <item x="296"/>
        <item x="399"/>
        <item x="301"/>
        <item x="234"/>
        <item x="178"/>
        <item x="363"/>
        <item x="124"/>
        <item x="249"/>
        <item x="94"/>
        <item x="143"/>
        <item x="261"/>
        <item x="251"/>
        <item x="207"/>
        <item x="308"/>
        <item x="192"/>
        <item x="404"/>
        <item x="202"/>
        <item x="258"/>
        <item x="285"/>
        <item x="210"/>
        <item x="250"/>
        <item x="188"/>
        <item x="358"/>
        <item x="224"/>
        <item x="386"/>
        <item x="157"/>
        <item x="116"/>
        <item x="166"/>
        <item x="306"/>
        <item x="392"/>
        <item x="277"/>
        <item x="273"/>
        <item x="298"/>
        <item x="406"/>
        <item x="193"/>
        <item x="275"/>
        <item x="91"/>
        <item x="336"/>
        <item x="264"/>
        <item x="107"/>
        <item x="163"/>
        <item x="151"/>
        <item x="144"/>
        <item x="117"/>
        <item x="398"/>
        <item x="340"/>
        <item x="154"/>
        <item x="122"/>
        <item x="173"/>
        <item x="368"/>
        <item x="76"/>
        <item x="183"/>
        <item x="92"/>
        <item x="395"/>
        <item x="197"/>
        <item x="68"/>
        <item x="217"/>
        <item x="254"/>
        <item x="361"/>
        <item x="238"/>
        <item x="316"/>
        <item x="253"/>
        <item x="69"/>
        <item x="198"/>
        <item x="74"/>
        <item x="115"/>
        <item x="204"/>
        <item x="135"/>
        <item x="272"/>
        <item x="354"/>
        <item x="97"/>
        <item x="62"/>
        <item x="167"/>
        <item x="141"/>
        <item x="158"/>
        <item x="102"/>
        <item x="59"/>
        <item x="411"/>
        <item x="330"/>
        <item x="266"/>
        <item x="391"/>
        <item x="103"/>
        <item x="187"/>
        <item x="175"/>
        <item x="156"/>
        <item x="335"/>
        <item x="403"/>
        <item x="95"/>
        <item x="279"/>
        <item x="52"/>
        <item x="343"/>
        <item x="239"/>
        <item x="48"/>
        <item x="54"/>
        <item x="200"/>
        <item x="227"/>
        <item x="133"/>
        <item x="282"/>
        <item x="281"/>
        <item x="104"/>
        <item x="206"/>
        <item x="324"/>
        <item x="70"/>
        <item x="179"/>
        <item x="85"/>
        <item x="77"/>
        <item x="138"/>
        <item x="45"/>
        <item x="329"/>
        <item x="47"/>
        <item x="123"/>
        <item x="376"/>
        <item x="309"/>
        <item x="80"/>
        <item x="49"/>
        <item x="71"/>
        <item x="380"/>
        <item x="323"/>
        <item x="136"/>
        <item x="196"/>
        <item x="379"/>
        <item x="129"/>
        <item x="268"/>
        <item x="82"/>
        <item x="222"/>
        <item x="60"/>
        <item x="181"/>
        <item x="328"/>
        <item x="318"/>
        <item x="295"/>
        <item x="236"/>
        <item x="351"/>
        <item x="87"/>
        <item x="294"/>
        <item x="228"/>
        <item x="64"/>
        <item x="140"/>
        <item x="111"/>
        <item x="172"/>
        <item x="34"/>
        <item x="148"/>
        <item x="310"/>
        <item x="15"/>
        <item x="159"/>
        <item x="16"/>
        <item x="203"/>
        <item x="14"/>
        <item x="400"/>
        <item x="276"/>
        <item x="41"/>
        <item x="304"/>
        <item x="384"/>
        <item x="377"/>
        <item x="255"/>
        <item x="139"/>
        <item x="100"/>
        <item x="98"/>
        <item x="132"/>
        <item x="25"/>
        <item x="125"/>
        <item x="109"/>
        <item x="28"/>
        <item x="280"/>
        <item x="230"/>
        <item x="105"/>
        <item x="321"/>
        <item x="119"/>
        <item x="319"/>
        <item x="226"/>
        <item x="145"/>
        <item x="161"/>
        <item x="162"/>
        <item x="322"/>
        <item x="46"/>
        <item x="88"/>
        <item x="305"/>
        <item x="33"/>
        <item x="9"/>
        <item x="302"/>
        <item x="334"/>
        <item x="333"/>
        <item x="72"/>
        <item x="131"/>
        <item x="57"/>
        <item x="61"/>
        <item x="65"/>
        <item x="114"/>
        <item x="152"/>
        <item x="271"/>
        <item x="40"/>
        <item x="147"/>
        <item x="67"/>
        <item x="83"/>
        <item x="171"/>
        <item x="262"/>
        <item x="127"/>
        <item x="113"/>
        <item x="35"/>
        <item x="338"/>
        <item x="90"/>
        <item x="352"/>
        <item x="339"/>
        <item x="32"/>
        <item x="66"/>
        <item x="170"/>
        <item x="63"/>
        <item x="89"/>
        <item x="134"/>
        <item x="349"/>
        <item x="287"/>
        <item x="240"/>
        <item x="263"/>
        <item x="55"/>
        <item x="24"/>
        <item x="205"/>
        <item x="19"/>
        <item x="130"/>
        <item x="110"/>
        <item x="126"/>
        <item x="185"/>
        <item x="58"/>
        <item x="259"/>
        <item x="164"/>
        <item x="43"/>
        <item x="29"/>
        <item x="53"/>
        <item x="220"/>
        <item x="13"/>
        <item x="86"/>
        <item x="11"/>
        <item x="371"/>
        <item x="50"/>
        <item x="189"/>
        <item x="51"/>
        <item x="121"/>
        <item x="191"/>
        <item x="355"/>
        <item x="36"/>
        <item x="118"/>
        <item x="22"/>
        <item x="10"/>
        <item x="96"/>
        <item x="108"/>
        <item x="73"/>
        <item x="56"/>
        <item x="146"/>
        <item x="20"/>
        <item x="79"/>
        <item x="78"/>
        <item x="42"/>
        <item x="75"/>
        <item x="388"/>
        <item x="38"/>
        <item x="81"/>
        <item x="30"/>
        <item x="4"/>
        <item x="278"/>
        <item x="106"/>
        <item x="21"/>
        <item x="44"/>
        <item x="31"/>
        <item x="26"/>
        <item x="12"/>
        <item x="37"/>
        <item x="6"/>
        <item x="101"/>
        <item x="128"/>
        <item x="23"/>
        <item x="2"/>
        <item x="18"/>
        <item x="17"/>
        <item x="3"/>
        <item x="5"/>
        <item x="39"/>
        <item x="8"/>
        <item x="1"/>
        <item x="7"/>
        <item x="0"/>
        <item x="27"/>
        <item x="182"/>
        <item t="default"/>
      </items>
    </pivotField>
    <pivotField showAll="0"/>
    <pivotField showAll="0"/>
    <pivotField dataField="1" showAll="0"/>
  </pivotFields>
  <rowFields count="1">
    <field x="2"/>
  </rowFields>
  <rowItems count="8">
    <i>
      <x v="138"/>
    </i>
    <i>
      <x v="143"/>
    </i>
    <i>
      <x v="134"/>
    </i>
    <i>
      <x v="136"/>
    </i>
    <i>
      <x v="144"/>
    </i>
    <i>
      <x v="140"/>
    </i>
    <i>
      <x v="142"/>
    </i>
    <i t="grand">
      <x/>
    </i>
  </rowItems>
  <colItems count="1">
    <i/>
  </colItems>
  <dataFields count="1">
    <dataField name="Average of Engagement_Rate" fld="10" subtotal="average" baseField="2" baseItem="154" numFmtId="10"/>
  </dataFields>
  <chartFormats count="1">
    <chartFormat chart="14" format="1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4FBA2E-17E3-4113-AB67-90EFA96C4C02}" name="Specific Recommendations"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7:B78" firstHeaderRow="1" firstDataRow="1" firstDataCol="1" rowPageCount="2" colPageCount="1"/>
  <pivotFields count="12">
    <pivotField axis="axisRow" showAll="0" measureFilter="1" sortType="descending">
      <items count="961">
        <item x="161"/>
        <item x="589"/>
        <item x="647"/>
        <item x="196"/>
        <item x="121"/>
        <item x="299"/>
        <item x="288"/>
        <item x="428"/>
        <item x="419"/>
        <item x="276"/>
        <item x="707"/>
        <item x="513"/>
        <item x="852"/>
        <item x="945"/>
        <item x="383"/>
        <item x="495"/>
        <item x="451"/>
        <item x="564"/>
        <item x="52"/>
        <item x="583"/>
        <item x="552"/>
        <item x="685"/>
        <item x="897"/>
        <item x="441"/>
        <item x="107"/>
        <item x="41"/>
        <item x="760"/>
        <item x="805"/>
        <item x="15"/>
        <item x="850"/>
        <item x="845"/>
        <item x="570"/>
        <item x="119"/>
        <item x="802"/>
        <item x="565"/>
        <item x="869"/>
        <item x="285"/>
        <item x="810"/>
        <item x="865"/>
        <item x="667"/>
        <item x="57"/>
        <item x="659"/>
        <item x="286"/>
        <item x="481"/>
        <item x="641"/>
        <item x="939"/>
        <item x="366"/>
        <item x="749"/>
        <item x="928"/>
        <item x="626"/>
        <item x="368"/>
        <item x="597"/>
        <item x="628"/>
        <item x="559"/>
        <item x="657"/>
        <item x="514"/>
        <item x="634"/>
        <item x="448"/>
        <item x="456"/>
        <item x="466"/>
        <item x="689"/>
        <item x="527"/>
        <item x="743"/>
        <item x="680"/>
        <item x="398"/>
        <item x="536"/>
        <item x="603"/>
        <item x="268"/>
        <item x="277"/>
        <item x="821"/>
        <item x="205"/>
        <item x="461"/>
        <item x="154"/>
        <item x="750"/>
        <item x="446"/>
        <item x="97"/>
        <item x="198"/>
        <item x="442"/>
        <item x="224"/>
        <item x="59"/>
        <item x="806"/>
        <item x="921"/>
        <item x="859"/>
        <item x="3"/>
        <item x="328"/>
        <item x="496"/>
        <item x="958"/>
        <item x="427"/>
        <item x="688"/>
        <item x="650"/>
        <item x="538"/>
        <item x="761"/>
        <item x="274"/>
        <item x="613"/>
        <item x="884"/>
        <item x="347"/>
        <item x="794"/>
        <item x="584"/>
        <item x="636"/>
        <item x="249"/>
        <item x="726"/>
        <item x="192"/>
        <item x="26"/>
        <item x="197"/>
        <item x="774"/>
        <item x="392"/>
        <item x="943"/>
        <item x="216"/>
        <item x="853"/>
        <item x="535"/>
        <item x="714"/>
        <item x="138"/>
        <item x="830"/>
        <item x="89"/>
        <item x="312"/>
        <item x="324"/>
        <item x="521"/>
        <item x="17"/>
        <item x="606"/>
        <item x="313"/>
        <item x="289"/>
        <item x="20"/>
        <item x="193"/>
        <item x="93"/>
        <item x="836"/>
        <item x="644"/>
        <item x="72"/>
        <item x="803"/>
        <item x="776"/>
        <item x="307"/>
        <item x="764"/>
        <item x="725"/>
        <item x="136"/>
        <item x="361"/>
        <item x="758"/>
        <item x="30"/>
        <item x="753"/>
        <item x="405"/>
        <item x="702"/>
        <item x="933"/>
        <item x="472"/>
        <item x="672"/>
        <item x="62"/>
        <item x="367"/>
        <item x="118"/>
        <item x="630"/>
        <item x="734"/>
        <item x="903"/>
        <item x="385"/>
        <item x="173"/>
        <item x="236"/>
        <item x="654"/>
        <item x="592"/>
        <item x="530"/>
        <item x="349"/>
        <item x="783"/>
        <item x="668"/>
        <item x="269"/>
        <item x="43"/>
        <item x="160"/>
        <item x="635"/>
        <item x="65"/>
        <item x="273"/>
        <item x="825"/>
        <item x="439"/>
        <item x="522"/>
        <item x="489"/>
        <item x="82"/>
        <item x="101"/>
        <item x="67"/>
        <item x="612"/>
        <item x="581"/>
        <item x="266"/>
        <item x="766"/>
        <item x="878"/>
        <item x="908"/>
        <item x="239"/>
        <item x="436"/>
        <item x="673"/>
        <item x="537"/>
        <item x="729"/>
        <item x="0"/>
        <item x="508"/>
        <item x="177"/>
        <item x="670"/>
        <item x="895"/>
        <item x="251"/>
        <item x="752"/>
        <item x="315"/>
        <item x="64"/>
        <item x="871"/>
        <item x="92"/>
        <item x="388"/>
        <item x="390"/>
        <item x="718"/>
        <item x="615"/>
        <item x="212"/>
        <item x="519"/>
        <item x="643"/>
        <item x="637"/>
        <item x="85"/>
        <item x="886"/>
        <item x="501"/>
        <item x="728"/>
        <item x="91"/>
        <item x="479"/>
        <item x="771"/>
        <item x="404"/>
        <item x="352"/>
        <item x="596"/>
        <item x="775"/>
        <item x="611"/>
        <item x="87"/>
        <item x="922"/>
        <item x="338"/>
        <item x="609"/>
        <item x="432"/>
        <item x="855"/>
        <item x="449"/>
        <item x="51"/>
        <item x="407"/>
        <item x="187"/>
        <item x="66"/>
        <item x="174"/>
        <item x="493"/>
        <item x="926"/>
        <item x="61"/>
        <item x="715"/>
        <item x="503"/>
        <item x="60"/>
        <item x="815"/>
        <item x="435"/>
        <item x="658"/>
        <item x="509"/>
        <item x="909"/>
        <item x="553"/>
        <item x="344"/>
        <item x="883"/>
        <item x="633"/>
        <item x="704"/>
        <item x="904"/>
        <item x="898"/>
        <item x="813"/>
        <item x="671"/>
        <item x="308"/>
        <item x="153"/>
        <item x="571"/>
        <item x="162"/>
        <item x="170"/>
        <item x="663"/>
        <item x="134"/>
        <item x="303"/>
        <item x="156"/>
        <item x="901"/>
        <item x="49"/>
        <item x="47"/>
        <item x="386"/>
        <item x="171"/>
        <item x="412"/>
        <item x="703"/>
        <item x="661"/>
        <item x="614"/>
        <item x="482"/>
        <item x="724"/>
        <item x="639"/>
        <item x="83"/>
        <item x="488"/>
        <item x="841"/>
        <item x="329"/>
        <item x="183"/>
        <item x="906"/>
        <item x="618"/>
        <item x="840"/>
        <item x="953"/>
        <item x="827"/>
        <item x="109"/>
        <item x="676"/>
        <item x="384"/>
        <item x="506"/>
        <item x="860"/>
        <item x="579"/>
        <item x="846"/>
        <item x="548"/>
        <item x="455"/>
        <item x="849"/>
        <item x="843"/>
        <item x="77"/>
        <item x="777"/>
        <item x="954"/>
        <item x="143"/>
        <item x="287"/>
        <item x="572"/>
        <item x="677"/>
        <item x="42"/>
        <item x="526"/>
        <item x="459"/>
        <item x="37"/>
        <item x="870"/>
        <item x="701"/>
        <item x="476"/>
        <item x="543"/>
        <item x="402"/>
        <item x="547"/>
        <item x="169"/>
        <item x="907"/>
        <item x="698"/>
        <item x="406"/>
        <item x="464"/>
        <item x="923"/>
        <item x="616"/>
        <item x="184"/>
        <item x="94"/>
        <item x="502"/>
        <item x="74"/>
        <item x="956"/>
        <item x="932"/>
        <item x="218"/>
        <item x="202"/>
        <item x="45"/>
        <item x="651"/>
        <item x="350"/>
        <item x="887"/>
        <item x="131"/>
        <item x="158"/>
        <item x="172"/>
        <item x="234"/>
        <item x="189"/>
        <item x="106"/>
        <item x="272"/>
        <item x="918"/>
        <item x="518"/>
        <item x="941"/>
        <item x="242"/>
        <item x="124"/>
        <item x="129"/>
        <item x="486"/>
        <item x="710"/>
        <item x="854"/>
        <item x="381"/>
        <item x="767"/>
        <item x="377"/>
        <item x="389"/>
        <item x="866"/>
        <item x="602"/>
        <item x="252"/>
        <item x="31"/>
        <item x="222"/>
        <item x="210"/>
        <item x="275"/>
        <item x="807"/>
        <item x="84"/>
        <item x="847"/>
        <item x="70"/>
        <item x="219"/>
        <item x="343"/>
        <item x="254"/>
        <item x="902"/>
        <item x="178"/>
        <item x="356"/>
        <item x="293"/>
        <item x="477"/>
        <item x="739"/>
        <item x="28"/>
        <item x="723"/>
        <item x="797"/>
        <item x="890"/>
        <item x="498"/>
        <item x="722"/>
        <item x="473"/>
        <item x="331"/>
        <item x="413"/>
        <item x="14"/>
        <item x="892"/>
        <item x="557"/>
        <item x="931"/>
        <item x="90"/>
        <item x="142"/>
        <item x="863"/>
        <item x="391"/>
        <item x="873"/>
        <item x="474"/>
        <item x="574"/>
        <item x="316"/>
        <item x="167"/>
        <item x="816"/>
        <item x="213"/>
        <item x="113"/>
        <item x="951"/>
        <item x="148"/>
        <item x="619"/>
        <item x="586"/>
        <item x="333"/>
        <item x="765"/>
        <item x="426"/>
        <item x="11"/>
        <item x="705"/>
        <item x="105"/>
        <item x="935"/>
        <item x="585"/>
        <item x="905"/>
        <item x="568"/>
        <item x="900"/>
        <item x="237"/>
        <item x="799"/>
        <item x="437"/>
        <item x="910"/>
        <item x="411"/>
        <item x="166"/>
        <item x="525"/>
        <item x="499"/>
        <item x="463"/>
        <item x="16"/>
        <item x="415"/>
        <item x="322"/>
        <item x="38"/>
        <item x="528"/>
        <item x="682"/>
        <item x="751"/>
        <item x="484"/>
        <item x="56"/>
        <item x="235"/>
        <item x="655"/>
        <item x="504"/>
        <item x="73"/>
        <item x="786"/>
        <item x="709"/>
        <item x="817"/>
        <item x="915"/>
        <item x="582"/>
        <item x="245"/>
        <item x="445"/>
        <item x="470"/>
        <item x="666"/>
        <item x="465"/>
        <item x="938"/>
        <item x="399"/>
        <item x="791"/>
        <item x="29"/>
        <item x="447"/>
        <item x="23"/>
        <item x="182"/>
        <item x="601"/>
        <item x="946"/>
        <item x="292"/>
        <item x="438"/>
        <item x="55"/>
        <item x="759"/>
        <item x="681"/>
        <item x="117"/>
        <item x="610"/>
        <item x="580"/>
        <item x="95"/>
        <item x="687"/>
        <item x="33"/>
        <item x="876"/>
        <item x="207"/>
        <item x="899"/>
        <item x="44"/>
        <item x="114"/>
        <item x="772"/>
        <item x="881"/>
        <item x="342"/>
        <item x="334"/>
        <item x="2"/>
        <item x="258"/>
        <item x="640"/>
        <item x="711"/>
        <item x="326"/>
        <item x="358"/>
        <item x="462"/>
        <item x="22"/>
        <item x="18"/>
        <item x="279"/>
        <item x="824"/>
        <item x="68"/>
        <item x="290"/>
        <item x="5"/>
        <item x="457"/>
        <item x="39"/>
        <item x="645"/>
        <item x="593"/>
        <item x="576"/>
        <item x="233"/>
        <item x="32"/>
        <item x="280"/>
        <item x="925"/>
        <item x="123"/>
        <item x="325"/>
        <item x="822"/>
        <item x="417"/>
        <item x="225"/>
        <item x="7"/>
        <item x="393"/>
        <item x="550"/>
        <item x="638"/>
        <item x="748"/>
        <item x="487"/>
        <item x="686"/>
        <item x="122"/>
        <item x="10"/>
        <item x="135"/>
        <item x="228"/>
        <item x="430"/>
        <item x="781"/>
        <item x="263"/>
        <item x="450"/>
        <item x="395"/>
        <item x="195"/>
        <item x="864"/>
        <item x="69"/>
        <item x="1"/>
        <item x="520"/>
        <item x="649"/>
        <item x="332"/>
        <item x="745"/>
        <item x="157"/>
        <item x="354"/>
        <item x="497"/>
        <item x="270"/>
        <item x="214"/>
        <item x="380"/>
        <item x="81"/>
        <item x="370"/>
        <item x="675"/>
        <item x="206"/>
        <item x="369"/>
        <item x="512"/>
        <item x="721"/>
        <item x="544"/>
        <item x="540"/>
        <item x="311"/>
        <item x="348"/>
        <item x="837"/>
        <item x="575"/>
        <item x="271"/>
        <item x="793"/>
        <item x="507"/>
        <item x="363"/>
        <item x="208"/>
        <item x="826"/>
        <item x="500"/>
        <item x="861"/>
        <item x="664"/>
        <item x="819"/>
        <item x="323"/>
        <item x="139"/>
        <item x="159"/>
        <item x="185"/>
        <item x="247"/>
        <item x="947"/>
        <item x="241"/>
        <item x="297"/>
        <item x="176"/>
        <item x="642"/>
        <item x="733"/>
        <item x="111"/>
        <item x="130"/>
        <item x="340"/>
        <item x="556"/>
        <item x="141"/>
        <item x="875"/>
        <item x="882"/>
        <item x="259"/>
        <item x="137"/>
        <item x="577"/>
        <item x="335"/>
        <item x="695"/>
        <item x="243"/>
        <item x="146"/>
        <item x="812"/>
        <item x="546"/>
        <item x="302"/>
        <item x="425"/>
        <item x="856"/>
        <item x="541"/>
        <item x="573"/>
        <item x="804"/>
        <item x="305"/>
        <item x="201"/>
        <item x="327"/>
        <item x="397"/>
        <item x="835"/>
        <item x="341"/>
        <item x="588"/>
        <item x="620"/>
        <item x="306"/>
        <item x="515"/>
        <item x="660"/>
        <item x="115"/>
        <item x="942"/>
        <item x="510"/>
        <item x="524"/>
        <item x="595"/>
        <item x="957"/>
        <item x="112"/>
        <item x="699"/>
        <item x="345"/>
        <item x="362"/>
        <item x="831"/>
        <item x="679"/>
        <item x="46"/>
        <item x="36"/>
        <item x="851"/>
        <item x="284"/>
        <item x="244"/>
        <item x="400"/>
        <item x="808"/>
        <item x="221"/>
        <item x="587"/>
        <item x="375"/>
        <item x="842"/>
        <item x="199"/>
        <item x="301"/>
        <item x="71"/>
        <item x="227"/>
        <item x="708"/>
        <item x="125"/>
        <item x="857"/>
        <item x="374"/>
        <item x="874"/>
        <item x="168"/>
        <item x="742"/>
        <item x="440"/>
        <item x="936"/>
        <item x="539"/>
        <item x="53"/>
        <item x="605"/>
        <item x="99"/>
        <item x="738"/>
        <item x="353"/>
        <item x="140"/>
        <item x="191"/>
        <item x="267"/>
        <item x="858"/>
        <item x="549"/>
        <item x="700"/>
        <item x="912"/>
        <item x="295"/>
        <item x="691"/>
        <item x="309"/>
        <item x="209"/>
        <item x="545"/>
        <item x="554"/>
        <item x="768"/>
        <item x="533"/>
        <item x="21"/>
        <item x="75"/>
        <item x="485"/>
        <item x="351"/>
        <item x="27"/>
        <item x="376"/>
        <item x="467"/>
        <item x="784"/>
        <item x="820"/>
        <item x="108"/>
        <item x="469"/>
        <item x="809"/>
        <item x="955"/>
        <item x="194"/>
        <item x="567"/>
        <item x="785"/>
        <item x="63"/>
        <item x="756"/>
        <item x="719"/>
        <item x="959"/>
        <item x="144"/>
        <item x="706"/>
        <item x="505"/>
        <item x="320"/>
        <item x="401"/>
        <item x="444"/>
        <item x="58"/>
        <item x="678"/>
        <item x="215"/>
        <item x="78"/>
        <item x="872"/>
        <item x="607"/>
        <item x="532"/>
        <item x="934"/>
        <item x="433"/>
        <item x="410"/>
        <item x="76"/>
        <item x="229"/>
        <item x="188"/>
        <item x="627"/>
        <item x="431"/>
        <item x="491"/>
        <item x="281"/>
        <item x="697"/>
        <item x="128"/>
        <item x="336"/>
        <item x="914"/>
        <item x="372"/>
        <item x="757"/>
        <item x="560"/>
        <item x="944"/>
        <item x="798"/>
        <item x="662"/>
        <item x="452"/>
        <item x="779"/>
        <item x="318"/>
        <item x="604"/>
        <item x="330"/>
        <item x="591"/>
        <item x="782"/>
        <item x="834"/>
        <item x="103"/>
        <item x="226"/>
        <item x="364"/>
        <item x="421"/>
        <item x="529"/>
        <item x="838"/>
        <item x="409"/>
        <item x="727"/>
        <item x="492"/>
        <item x="394"/>
        <item x="321"/>
        <item x="420"/>
        <item x="86"/>
        <item x="246"/>
        <item x="304"/>
        <item x="924"/>
        <item x="79"/>
        <item x="98"/>
        <item x="844"/>
        <item x="622"/>
        <item x="186"/>
        <item x="788"/>
        <item x="684"/>
        <item x="217"/>
        <item x="534"/>
        <item x="648"/>
        <item x="261"/>
        <item x="35"/>
        <item x="50"/>
        <item x="927"/>
        <item x="773"/>
        <item x="694"/>
        <item x="829"/>
        <item x="163"/>
        <item x="147"/>
        <item x="919"/>
        <item x="434"/>
        <item x="248"/>
        <item x="542"/>
        <item x="126"/>
        <item x="24"/>
        <item x="346"/>
        <item x="891"/>
        <item x="916"/>
        <item x="300"/>
        <item x="917"/>
        <item x="145"/>
        <item x="262"/>
        <item x="80"/>
        <item x="382"/>
        <item x="769"/>
        <item x="713"/>
        <item x="690"/>
        <item x="683"/>
        <item x="110"/>
        <item x="238"/>
        <item x="911"/>
        <item x="483"/>
        <item x="796"/>
        <item x="175"/>
        <item x="494"/>
        <item x="387"/>
        <item x="818"/>
        <item x="740"/>
        <item x="8"/>
        <item x="868"/>
        <item x="190"/>
        <item x="152"/>
        <item x="937"/>
        <item x="127"/>
        <item x="54"/>
        <item x="278"/>
        <item x="422"/>
        <item x="132"/>
        <item x="563"/>
        <item x="165"/>
        <item x="359"/>
        <item x="396"/>
        <item x="624"/>
        <item x="833"/>
        <item x="877"/>
        <item x="789"/>
        <item x="770"/>
        <item x="223"/>
        <item x="562"/>
        <item x="631"/>
        <item x="511"/>
        <item x="360"/>
        <item x="220"/>
        <item x="418"/>
        <item x="88"/>
        <item x="832"/>
        <item x="257"/>
        <item x="19"/>
        <item x="888"/>
        <item x="811"/>
        <item x="746"/>
        <item x="569"/>
        <item x="800"/>
        <item x="716"/>
        <item x="744"/>
        <item x="371"/>
        <item x="656"/>
        <item x="319"/>
        <item x="712"/>
        <item x="665"/>
        <item x="180"/>
        <item x="646"/>
        <item x="181"/>
        <item x="755"/>
        <item x="828"/>
        <item x="531"/>
        <item x="653"/>
        <item x="256"/>
        <item x="730"/>
        <item x="443"/>
        <item x="950"/>
        <item x="608"/>
        <item x="155"/>
        <item x="669"/>
        <item x="203"/>
        <item x="317"/>
        <item x="231"/>
        <item x="255"/>
        <item x="365"/>
        <item x="717"/>
        <item x="731"/>
        <item x="893"/>
        <item x="516"/>
        <item x="621"/>
        <item x="6"/>
        <item x="429"/>
        <item x="780"/>
        <item x="283"/>
        <item x="787"/>
        <item x="952"/>
        <item x="762"/>
        <item x="355"/>
        <item x="149"/>
        <item x="814"/>
        <item x="150"/>
        <item x="471"/>
        <item x="894"/>
        <item x="211"/>
        <item x="423"/>
        <item x="373"/>
        <item x="294"/>
        <item x="889"/>
        <item x="40"/>
        <item x="896"/>
        <item x="599"/>
        <item x="151"/>
        <item x="632"/>
        <item x="416"/>
        <item x="9"/>
        <item x="747"/>
        <item x="600"/>
        <item x="240"/>
        <item x="232"/>
        <item x="378"/>
        <item x="693"/>
        <item x="754"/>
        <item x="778"/>
        <item x="13"/>
        <item x="879"/>
        <item x="948"/>
        <item x="594"/>
        <item x="839"/>
        <item x="867"/>
        <item x="468"/>
        <item x="48"/>
        <item x="555"/>
        <item x="265"/>
        <item x="625"/>
        <item x="102"/>
        <item x="314"/>
        <item x="120"/>
        <item x="25"/>
        <item x="792"/>
        <item x="598"/>
        <item x="104"/>
        <item x="480"/>
        <item x="732"/>
        <item x="913"/>
        <item x="179"/>
        <item x="720"/>
        <item x="424"/>
        <item x="848"/>
        <item x="561"/>
        <item x="264"/>
        <item x="736"/>
        <item x="735"/>
        <item x="880"/>
        <item x="260"/>
        <item x="558"/>
        <item x="517"/>
        <item x="623"/>
        <item x="116"/>
        <item x="133"/>
        <item x="339"/>
        <item x="692"/>
        <item x="12"/>
        <item x="578"/>
        <item x="940"/>
        <item x="490"/>
        <item x="696"/>
        <item x="930"/>
        <item x="795"/>
        <item x="949"/>
        <item x="801"/>
        <item x="379"/>
        <item x="291"/>
        <item x="337"/>
        <item x="920"/>
        <item x="929"/>
        <item x="737"/>
        <item x="674"/>
        <item x="230"/>
        <item x="885"/>
        <item x="523"/>
        <item x="790"/>
        <item x="310"/>
        <item x="460"/>
        <item x="862"/>
        <item x="250"/>
        <item x="551"/>
        <item x="566"/>
        <item x="253"/>
        <item x="629"/>
        <item x="408"/>
        <item x="282"/>
        <item x="357"/>
        <item x="100"/>
        <item x="741"/>
        <item x="414"/>
        <item x="298"/>
        <item x="403"/>
        <item x="763"/>
        <item x="458"/>
        <item x="475"/>
        <item x="823"/>
        <item x="652"/>
        <item x="478"/>
        <item x="296"/>
        <item x="454"/>
        <item x="96"/>
        <item x="204"/>
        <item x="34"/>
        <item x="453"/>
        <item x="4"/>
        <item x="200"/>
        <item x="164"/>
        <item x="617"/>
        <item x="590"/>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156">
        <item h="1" x="88"/>
        <item h="1" x="141"/>
        <item h="1" x="20"/>
        <item h="1" x="72"/>
        <item h="1" x="137"/>
        <item h="1" x="13"/>
        <item h="1" x="140"/>
        <item h="1" x="116"/>
        <item h="1" x="117"/>
        <item h="1" x="83"/>
        <item x="19"/>
        <item x="26"/>
        <item x="64"/>
        <item x="107"/>
        <item x="73"/>
        <item x="67"/>
        <item x="149"/>
        <item x="98"/>
        <item x="142"/>
        <item x="135"/>
        <item x="36"/>
        <item h="1" x="94"/>
        <item h="1" x="151"/>
        <item h="1" x="138"/>
        <item h="1" x="93"/>
        <item h="1" x="8"/>
        <item h="1" x="41"/>
        <item h="1" x="90"/>
        <item h="1" x="78"/>
        <item h="1" x="106"/>
        <item h="1" x="4"/>
        <item h="1" x="17"/>
        <item h="1" x="85"/>
        <item h="1" x="134"/>
        <item h="1" x="27"/>
        <item h="1" x="34"/>
        <item h="1" x="76"/>
        <item h="1" x="133"/>
        <item h="1" x="24"/>
        <item h="1" x="22"/>
        <item h="1" x="44"/>
        <item h="1" x="38"/>
        <item h="1" x="11"/>
        <item h="1" x="56"/>
        <item h="1" x="40"/>
        <item h="1" x="69"/>
        <item h="1" x="59"/>
        <item h="1" x="148"/>
        <item h="1" x="111"/>
        <item h="1" x="74"/>
        <item h="1" x="115"/>
        <item h="1" x="60"/>
        <item h="1" x="139"/>
        <item h="1" x="103"/>
        <item h="1" x="51"/>
        <item h="1" x="123"/>
        <item h="1" x="54"/>
        <item h="1" x="102"/>
        <item h="1" x="5"/>
        <item h="1" x="81"/>
        <item h="1" x="113"/>
        <item h="1" x="92"/>
        <item h="1" x="6"/>
        <item h="1" x="104"/>
        <item h="1" x="21"/>
        <item h="1" x="82"/>
        <item h="1" x="84"/>
        <item h="1" x="37"/>
        <item h="1" x="35"/>
        <item h="1" x="52"/>
        <item h="1" x="65"/>
        <item h="1" x="147"/>
        <item h="1" x="42"/>
        <item h="1" x="153"/>
        <item h="1" x="118"/>
        <item h="1" x="9"/>
        <item h="1" x="55"/>
        <item h="1" x="91"/>
        <item h="1" x="46"/>
        <item h="1" x="131"/>
        <item h="1" x="66"/>
        <item h="1" x="95"/>
        <item h="1" x="144"/>
        <item h="1" x="18"/>
        <item h="1" x="30"/>
        <item h="1" x="136"/>
        <item h="1" x="132"/>
        <item h="1" x="28"/>
        <item h="1" x="146"/>
        <item h="1" x="89"/>
        <item h="1" x="121"/>
        <item h="1" x="114"/>
        <item h="1" x="23"/>
        <item h="1" x="119"/>
        <item h="1" x="47"/>
        <item h="1" x="108"/>
        <item h="1" x="150"/>
        <item h="1" x="152"/>
        <item h="1" x="100"/>
        <item h="1" x="99"/>
        <item h="1" x="130"/>
        <item h="1" x="75"/>
        <item h="1" x="29"/>
        <item h="1" x="143"/>
        <item h="1" x="57"/>
        <item h="1" x="31"/>
        <item h="1" x="2"/>
        <item h="1" x="110"/>
        <item h="1" x="15"/>
        <item h="1" x="25"/>
        <item h="1" x="86"/>
        <item h="1" x="127"/>
        <item h="1" x="3"/>
        <item h="1" x="77"/>
        <item h="1" x="53"/>
        <item h="1" x="12"/>
        <item h="1" x="16"/>
        <item h="1" x="70"/>
        <item h="1" x="122"/>
        <item h="1" x="71"/>
        <item h="1" x="80"/>
        <item h="1" x="79"/>
        <item h="1" x="10"/>
        <item h="1" x="101"/>
        <item h="1" x="7"/>
        <item h="1" x="33"/>
        <item h="1" x="112"/>
        <item h="1" x="96"/>
        <item h="1" x="43"/>
        <item h="1" x="14"/>
        <item h="1" x="63"/>
        <item h="1" x="109"/>
        <item h="1" x="48"/>
        <item h="1" x="128"/>
        <item h="1" x="32"/>
        <item h="1" x="62"/>
        <item h="1" x="58"/>
        <item h="1" x="68"/>
        <item h="1" x="50"/>
        <item h="1" x="105"/>
        <item h="1" x="126"/>
        <item h="1" x="120"/>
        <item h="1" x="39"/>
        <item h="1" x="45"/>
        <item h="1" x="145"/>
        <item h="1" x="125"/>
        <item h="1" x="0"/>
        <item h="1" x="97"/>
        <item h="1" x="1"/>
        <item h="1" x="49"/>
        <item h="1" x="124"/>
        <item h="1" x="129"/>
        <item h="1" x="87"/>
        <item h="1" x="154"/>
        <item h="1" x="61"/>
        <item t="default"/>
      </items>
    </pivotField>
    <pivotField showAll="0">
      <items count="415">
        <item x="383"/>
        <item x="272"/>
        <item x="215"/>
        <item x="169"/>
        <item x="351"/>
        <item x="253"/>
        <item x="352"/>
        <item x="168"/>
        <item x="150"/>
        <item x="189"/>
        <item x="20"/>
        <item x="200"/>
        <item x="216"/>
        <item x="408"/>
        <item x="349"/>
        <item x="328"/>
        <item x="320"/>
        <item x="264"/>
        <item x="329"/>
        <item x="318"/>
        <item x="377"/>
        <item x="79"/>
        <item x="78"/>
        <item x="42"/>
        <item x="267"/>
        <item x="112"/>
        <item x="280"/>
        <item x="183"/>
        <item x="374"/>
        <item x="237"/>
        <item x="120"/>
        <item x="397"/>
        <item x="254"/>
        <item x="210"/>
        <item x="75"/>
        <item x="393"/>
        <item x="38"/>
        <item x="251"/>
        <item x="232"/>
        <item x="296"/>
        <item x="298"/>
        <item x="275"/>
        <item x="174"/>
        <item x="142"/>
        <item x="226"/>
        <item x="207"/>
        <item x="292"/>
        <item x="81"/>
        <item x="30"/>
        <item x="165"/>
        <item x="149"/>
        <item x="230"/>
        <item x="99"/>
        <item x="84"/>
        <item x="358"/>
        <item x="176"/>
        <item x="242"/>
        <item x="258"/>
        <item x="224"/>
        <item x="4"/>
        <item x="284"/>
        <item x="177"/>
        <item x="198"/>
        <item x="213"/>
        <item x="220"/>
        <item x="370"/>
        <item x="194"/>
        <item x="378"/>
        <item x="400"/>
        <item x="411"/>
        <item x="155"/>
        <item x="219"/>
        <item x="185"/>
        <item x="301"/>
        <item x="403"/>
        <item x="306"/>
        <item x="238"/>
        <item x="178"/>
        <item x="368"/>
        <item x="124"/>
        <item x="255"/>
        <item x="106"/>
        <item x="137"/>
        <item x="143"/>
        <item x="268"/>
        <item x="257"/>
        <item x="206"/>
        <item x="312"/>
        <item x="191"/>
        <item x="407"/>
        <item x="201"/>
        <item x="21"/>
        <item x="44"/>
        <item x="94"/>
        <item x="291"/>
        <item x="209"/>
        <item x="256"/>
        <item x="187"/>
        <item x="363"/>
        <item x="225"/>
        <item x="392"/>
        <item x="157"/>
        <item x="31"/>
        <item x="265"/>
        <item x="166"/>
        <item x="311"/>
        <item x="396"/>
        <item x="283"/>
        <item x="279"/>
        <item x="303"/>
        <item x="409"/>
        <item x="192"/>
        <item x="281"/>
        <item x="26"/>
        <item x="116"/>
        <item x="366"/>
        <item x="410"/>
        <item x="376"/>
        <item x="339"/>
        <item x="271"/>
        <item x="107"/>
        <item x="163"/>
        <item x="151"/>
        <item x="144"/>
        <item x="117"/>
        <item x="12"/>
        <item x="91"/>
        <item x="343"/>
        <item x="154"/>
        <item x="122"/>
        <item x="173"/>
        <item x="373"/>
        <item x="76"/>
        <item x="182"/>
        <item x="92"/>
        <item x="37"/>
        <item x="6"/>
        <item x="402"/>
        <item x="196"/>
        <item x="68"/>
        <item x="218"/>
        <item x="261"/>
        <item x="367"/>
        <item x="243"/>
        <item x="319"/>
        <item x="260"/>
        <item x="101"/>
        <item x="399"/>
        <item x="197"/>
        <item x="74"/>
        <item x="115"/>
        <item x="203"/>
        <item x="135"/>
        <item x="278"/>
        <item x="128"/>
        <item x="69"/>
        <item x="97"/>
        <item x="62"/>
        <item x="167"/>
        <item x="141"/>
        <item x="158"/>
        <item x="102"/>
        <item x="59"/>
        <item x="412"/>
        <item x="333"/>
        <item x="23"/>
        <item x="2"/>
        <item x="359"/>
        <item x="395"/>
        <item x="103"/>
        <item x="186"/>
        <item x="175"/>
        <item x="156"/>
        <item x="338"/>
        <item x="273"/>
        <item x="95"/>
        <item x="285"/>
        <item x="52"/>
        <item x="347"/>
        <item x="244"/>
        <item x="18"/>
        <item x="17"/>
        <item x="406"/>
        <item x="54"/>
        <item x="199"/>
        <item x="228"/>
        <item x="133"/>
        <item x="288"/>
        <item x="287"/>
        <item x="104"/>
        <item x="205"/>
        <item x="48"/>
        <item x="327"/>
        <item x="70"/>
        <item x="179"/>
        <item x="85"/>
        <item x="138"/>
        <item x="45"/>
        <item x="332"/>
        <item x="47"/>
        <item x="123"/>
        <item x="381"/>
        <item x="313"/>
        <item x="77"/>
        <item x="384"/>
        <item x="394"/>
        <item x="413"/>
        <item x="391"/>
        <item x="401"/>
        <item x="335"/>
        <item x="371"/>
        <item x="350"/>
        <item x="49"/>
        <item x="71"/>
        <item x="386"/>
        <item x="326"/>
        <item x="136"/>
        <item x="80"/>
        <item x="195"/>
        <item x="385"/>
        <item x="129"/>
        <item x="82"/>
        <item x="223"/>
        <item x="60"/>
        <item x="3"/>
        <item x="5"/>
        <item x="39"/>
        <item x="274"/>
        <item x="181"/>
        <item x="331"/>
        <item x="321"/>
        <item x="300"/>
        <item x="241"/>
        <item x="8"/>
        <item x="356"/>
        <item x="87"/>
        <item x="299"/>
        <item x="1"/>
        <item x="229"/>
        <item x="64"/>
        <item x="140"/>
        <item x="111"/>
        <item x="172"/>
        <item x="7"/>
        <item x="148"/>
        <item x="314"/>
        <item x="15"/>
        <item x="34"/>
        <item x="16"/>
        <item x="159"/>
        <item x="14"/>
        <item x="404"/>
        <item x="282"/>
        <item x="202"/>
        <item x="309"/>
        <item x="390"/>
        <item x="382"/>
        <item x="41"/>
        <item x="372"/>
        <item x="380"/>
        <item x="353"/>
        <item x="355"/>
        <item x="365"/>
        <item x="369"/>
        <item x="388"/>
        <item x="344"/>
        <item x="246"/>
        <item x="290"/>
        <item x="262"/>
        <item x="139"/>
        <item x="100"/>
        <item x="98"/>
        <item x="132"/>
        <item x="25"/>
        <item x="125"/>
        <item x="109"/>
        <item x="286"/>
        <item x="231"/>
        <item x="105"/>
        <item x="324"/>
        <item x="119"/>
        <item x="322"/>
        <item x="28"/>
        <item x="145"/>
        <item x="161"/>
        <item x="162"/>
        <item x="227"/>
        <item x="325"/>
        <item x="46"/>
        <item x="88"/>
        <item x="310"/>
        <item x="33"/>
        <item x="9"/>
        <item x="307"/>
        <item x="337"/>
        <item x="0"/>
        <item x="336"/>
        <item x="72"/>
        <item x="131"/>
        <item x="57"/>
        <item x="61"/>
        <item x="114"/>
        <item x="152"/>
        <item x="65"/>
        <item x="398"/>
        <item x="294"/>
        <item x="345"/>
        <item x="259"/>
        <item x="305"/>
        <item x="239"/>
        <item x="217"/>
        <item x="236"/>
        <item x="235"/>
        <item x="249"/>
        <item x="277"/>
        <item x="40"/>
        <item x="147"/>
        <item x="67"/>
        <item x="83"/>
        <item x="171"/>
        <item x="269"/>
        <item x="27"/>
        <item x="113"/>
        <item x="35"/>
        <item x="341"/>
        <item x="90"/>
        <item x="127"/>
        <item x="342"/>
        <item x="32"/>
        <item x="66"/>
        <item x="170"/>
        <item x="357"/>
        <item x="63"/>
        <item x="89"/>
        <item x="134"/>
        <item x="354"/>
        <item x="293"/>
        <item x="245"/>
        <item x="55"/>
        <item x="270"/>
        <item x="361"/>
        <item x="346"/>
        <item x="297"/>
        <item x="214"/>
        <item x="302"/>
        <item x="250"/>
        <item x="234"/>
        <item x="304"/>
        <item x="389"/>
        <item x="180"/>
        <item x="204"/>
        <item x="24"/>
        <item x="19"/>
        <item x="130"/>
        <item x="110"/>
        <item x="126"/>
        <item x="184"/>
        <item x="58"/>
        <item x="266"/>
        <item x="164"/>
        <item x="43"/>
        <item x="29"/>
        <item x="53"/>
        <item x="221"/>
        <item x="13"/>
        <item x="86"/>
        <item x="11"/>
        <item x="50"/>
        <item x="375"/>
        <item x="308"/>
        <item x="316"/>
        <item x="405"/>
        <item x="252"/>
        <item x="317"/>
        <item x="387"/>
        <item x="211"/>
        <item x="379"/>
        <item x="276"/>
        <item x="295"/>
        <item x="188"/>
        <item x="51"/>
        <item x="121"/>
        <item x="190"/>
        <item x="360"/>
        <item x="36"/>
        <item x="118"/>
        <item x="22"/>
        <item x="10"/>
        <item x="348"/>
        <item x="289"/>
        <item x="240"/>
        <item x="248"/>
        <item x="247"/>
        <item x="160"/>
        <item x="330"/>
        <item x="212"/>
        <item x="334"/>
        <item x="362"/>
        <item x="96"/>
        <item x="108"/>
        <item x="73"/>
        <item x="56"/>
        <item x="233"/>
        <item x="364"/>
        <item x="340"/>
        <item x="222"/>
        <item x="208"/>
        <item x="315"/>
        <item x="93"/>
        <item x="323"/>
        <item x="153"/>
        <item x="263"/>
        <item x="146"/>
        <item x="193"/>
        <item t="default"/>
      </items>
    </pivotField>
    <pivotField axis="axisPage" multipleItemSelectionAllowed="1" showAll="0">
      <items count="35">
        <item h="1" x="32"/>
        <item h="1" x="28"/>
        <item h="1" x="1"/>
        <item h="1" x="3"/>
        <item h="1" x="30"/>
        <item h="1" x="13"/>
        <item h="1" x="15"/>
        <item h="1" x="10"/>
        <item h="1" x="8"/>
        <item h="1" x="22"/>
        <item x="0"/>
        <item x="4"/>
        <item h="1" x="14"/>
        <item h="1" x="21"/>
        <item h="1" x="9"/>
        <item h="1" x="27"/>
        <item h="1" x="31"/>
        <item h="1" x="6"/>
        <item h="1" x="24"/>
        <item h="1" x="23"/>
        <item h="1" x="33"/>
        <item h="1" x="16"/>
        <item h="1" x="18"/>
        <item h="1" x="7"/>
        <item h="1" x="29"/>
        <item h="1" x="5"/>
        <item h="1" x="12"/>
        <item h="1" x="25"/>
        <item h="1" x="19"/>
        <item h="1" x="11"/>
        <item h="1" x="26"/>
        <item h="1" x="20"/>
        <item h="1" x="2"/>
        <item h="1" x="17"/>
        <item t="default"/>
      </items>
    </pivotField>
    <pivotField showAll="0"/>
    <pivotField showAll="0">
      <items count="787">
        <item x="30"/>
        <item x="22"/>
        <item x="16"/>
        <item x="17"/>
        <item x="29"/>
        <item x="49"/>
        <item x="45"/>
        <item x="20"/>
        <item x="7"/>
        <item x="14"/>
        <item x="633"/>
        <item x="738"/>
        <item x="342"/>
        <item x="587"/>
        <item x="710"/>
        <item x="657"/>
        <item x="728"/>
        <item x="365"/>
        <item x="705"/>
        <item x="366"/>
        <item x="746"/>
        <item x="13"/>
        <item x="675"/>
        <item x="687"/>
        <item x="404"/>
        <item x="452"/>
        <item x="695"/>
        <item x="84"/>
        <item x="524"/>
        <item x="332"/>
        <item x="257"/>
        <item x="753"/>
        <item x="708"/>
        <item x="643"/>
        <item x="671"/>
        <item x="576"/>
        <item x="440"/>
        <item x="330"/>
        <item x="327"/>
        <item x="8"/>
        <item x="667"/>
        <item x="296"/>
        <item x="291"/>
        <item x="755"/>
        <item x="783"/>
        <item x="206"/>
        <item x="711"/>
        <item x="592"/>
        <item x="514"/>
        <item x="699"/>
        <item x="715"/>
        <item x="765"/>
        <item x="636"/>
        <item x="642"/>
        <item x="214"/>
        <item x="726"/>
        <item x="535"/>
        <item x="605"/>
        <item x="770"/>
        <item x="598"/>
        <item x="623"/>
        <item x="743"/>
        <item x="393"/>
        <item x="677"/>
        <item x="530"/>
        <item x="684"/>
        <item x="483"/>
        <item x="694"/>
        <item x="295"/>
        <item x="506"/>
        <item x="752"/>
        <item x="744"/>
        <item x="756"/>
        <item x="610"/>
        <item x="785"/>
        <item x="662"/>
        <item x="67"/>
        <item x="350"/>
        <item x="222"/>
        <item x="748"/>
        <item x="764"/>
        <item x="703"/>
        <item x="310"/>
        <item x="375"/>
        <item x="666"/>
        <item x="249"/>
        <item x="212"/>
        <item x="681"/>
        <item x="589"/>
        <item x="299"/>
        <item x="258"/>
        <item x="730"/>
        <item x="469"/>
        <item x="707"/>
        <item x="325"/>
        <item x="413"/>
        <item x="453"/>
        <item x="563"/>
        <item x="757"/>
        <item x="626"/>
        <item x="358"/>
        <item x="650"/>
        <item x="180"/>
        <item x="434"/>
        <item x="423"/>
        <item x="334"/>
        <item x="238"/>
        <item x="268"/>
        <item x="696"/>
        <item x="625"/>
        <item x="648"/>
        <item x="566"/>
        <item x="513"/>
        <item x="742"/>
        <item x="778"/>
        <item x="572"/>
        <item x="286"/>
        <item x="476"/>
        <item x="395"/>
        <item x="470"/>
        <item x="148"/>
        <item x="338"/>
        <item x="672"/>
        <item x="464"/>
        <item x="367"/>
        <item x="309"/>
        <item x="418"/>
        <item x="741"/>
        <item x="688"/>
        <item x="690"/>
        <item x="103"/>
        <item x="47"/>
        <item x="38"/>
        <item x="62"/>
        <item x="11"/>
        <item x="5"/>
        <item x="65"/>
        <item x="44"/>
        <item x="39"/>
        <item x="69"/>
        <item x="230"/>
        <item x="267"/>
        <item x="557"/>
        <item x="276"/>
        <item x="402"/>
        <item x="680"/>
        <item x="772"/>
        <item x="682"/>
        <item x="529"/>
        <item x="360"/>
        <item x="733"/>
        <item x="380"/>
        <item x="353"/>
        <item x="270"/>
        <item x="578"/>
        <item x="652"/>
        <item x="496"/>
        <item x="378"/>
        <item x="595"/>
        <item x="737"/>
        <item x="433"/>
        <item x="724"/>
        <item x="649"/>
        <item x="548"/>
        <item x="784"/>
        <item x="363"/>
        <item x="579"/>
        <item x="303"/>
        <item x="442"/>
        <item x="128"/>
        <item x="762"/>
        <item x="518"/>
        <item x="505"/>
        <item x="564"/>
        <item x="568"/>
        <item x="339"/>
        <item x="251"/>
        <item x="603"/>
        <item x="390"/>
        <item x="719"/>
        <item x="173"/>
        <item x="641"/>
        <item x="631"/>
        <item x="570"/>
        <item x="594"/>
        <item x="551"/>
        <item x="484"/>
        <item x="401"/>
        <item x="736"/>
        <item x="400"/>
        <item x="126"/>
        <item x="383"/>
        <item x="543"/>
        <item x="200"/>
        <item x="774"/>
        <item x="209"/>
        <item x="463"/>
        <item x="616"/>
        <item x="316"/>
        <item x="539"/>
        <item x="474"/>
        <item x="98"/>
        <item x="155"/>
        <item x="574"/>
        <item x="247"/>
        <item x="403"/>
        <item x="771"/>
        <item x="138"/>
        <item x="240"/>
        <item x="387"/>
        <item x="329"/>
        <item x="532"/>
        <item x="482"/>
        <item x="702"/>
        <item x="635"/>
        <item x="519"/>
        <item x="488"/>
        <item x="723"/>
        <item x="706"/>
        <item x="701"/>
        <item x="369"/>
        <item x="326"/>
        <item x="545"/>
        <item x="562"/>
        <item x="678"/>
        <item x="320"/>
        <item x="322"/>
        <item x="493"/>
        <item x="725"/>
        <item x="556"/>
        <item x="644"/>
        <item x="394"/>
        <item x="571"/>
        <item x="362"/>
        <item x="218"/>
        <item x="497"/>
        <item x="781"/>
        <item x="664"/>
        <item x="698"/>
        <item x="559"/>
        <item x="731"/>
        <item x="467"/>
        <item x="665"/>
        <item x="473"/>
        <item x="490"/>
        <item x="646"/>
        <item x="123"/>
        <item x="655"/>
        <item x="645"/>
        <item x="502"/>
        <item x="410"/>
        <item x="558"/>
        <item x="760"/>
        <item x="533"/>
        <item x="634"/>
        <item x="408"/>
        <item x="540"/>
        <item x="243"/>
        <item x="242"/>
        <item x="460"/>
        <item x="245"/>
        <item x="732"/>
        <item x="560"/>
        <item x="163"/>
        <item x="346"/>
        <item x="531"/>
        <item x="382"/>
        <item x="480"/>
        <item x="561"/>
        <item x="357"/>
        <item x="776"/>
        <item x="749"/>
        <item x="722"/>
        <item x="150"/>
        <item x="158"/>
        <item x="546"/>
        <item x="335"/>
        <item x="237"/>
        <item x="577"/>
        <item x="673"/>
        <item x="763"/>
        <item x="647"/>
        <item x="308"/>
        <item x="248"/>
        <item x="739"/>
        <item x="624"/>
        <item x="111"/>
        <item x="42"/>
        <item x="19"/>
        <item x="6"/>
        <item x="28"/>
        <item x="3"/>
        <item x="34"/>
        <item x="31"/>
        <item x="37"/>
        <item x="21"/>
        <item x="632"/>
        <item x="447"/>
        <item x="714"/>
        <item x="683"/>
        <item x="275"/>
        <item x="593"/>
        <item x="538"/>
        <item x="617"/>
        <item x="391"/>
        <item x="584"/>
        <item x="265"/>
        <item x="627"/>
        <item x="405"/>
        <item x="202"/>
        <item x="779"/>
        <item x="720"/>
        <item x="745"/>
        <item x="555"/>
        <item x="721"/>
        <item x="515"/>
        <item x="300"/>
        <item x="458"/>
        <item x="734"/>
        <item x="479"/>
        <item x="653"/>
        <item x="435"/>
        <item x="233"/>
        <item x="565"/>
        <item x="171"/>
        <item x="287"/>
        <item x="679"/>
        <item x="590"/>
        <item x="567"/>
        <item x="639"/>
        <item x="224"/>
        <item x="278"/>
        <item x="317"/>
        <item x="217"/>
        <item x="305"/>
        <item x="767"/>
        <item x="717"/>
        <item x="52"/>
        <item x="437"/>
        <item x="727"/>
        <item x="113"/>
        <item x="478"/>
        <item x="211"/>
        <item x="384"/>
        <item x="549"/>
        <item x="601"/>
        <item x="501"/>
        <item x="407"/>
        <item x="114"/>
        <item x="161"/>
        <item x="716"/>
        <item x="668"/>
        <item x="609"/>
        <item x="364"/>
        <item x="654"/>
        <item x="263"/>
        <item x="396"/>
        <item x="550"/>
        <item x="468"/>
        <item x="406"/>
        <item x="622"/>
        <item x="436"/>
        <item x="516"/>
        <item x="499"/>
        <item x="203"/>
        <item x="355"/>
        <item x="554"/>
        <item x="374"/>
        <item x="347"/>
        <item x="608"/>
        <item x="659"/>
        <item x="351"/>
        <item x="471"/>
        <item x="611"/>
        <item x="485"/>
        <item x="495"/>
        <item x="691"/>
        <item x="389"/>
        <item x="472"/>
        <item x="585"/>
        <item x="663"/>
        <item x="290"/>
        <item x="269"/>
        <item x="143"/>
        <item x="629"/>
        <item x="527"/>
        <item x="427"/>
        <item x="606"/>
        <item x="144"/>
        <item x="371"/>
        <item x="236"/>
        <item x="337"/>
        <item x="569"/>
        <item x="151"/>
        <item x="487"/>
        <item x="475"/>
        <item x="597"/>
        <item x="359"/>
        <item x="481"/>
        <item x="522"/>
        <item x="136"/>
        <item x="438"/>
        <item x="500"/>
        <item x="250"/>
        <item x="676"/>
        <item x="48"/>
        <item x="508"/>
        <item x="178"/>
        <item x="229"/>
        <item x="61"/>
        <item x="32"/>
        <item x="41"/>
        <item x="23"/>
        <item x="1"/>
        <item x="2"/>
        <item x="544"/>
        <item x="76"/>
        <item x="234"/>
        <item x="149"/>
        <item x="252"/>
        <item x="498"/>
        <item x="78"/>
        <item x="70"/>
        <item x="612"/>
        <item x="432"/>
        <item x="620"/>
        <item x="600"/>
        <item x="429"/>
        <item x="465"/>
        <item x="227"/>
        <item x="780"/>
        <item x="349"/>
        <item x="50"/>
        <item x="195"/>
        <item x="466"/>
        <item x="777"/>
        <item x="271"/>
        <item x="582"/>
        <item x="197"/>
        <item x="261"/>
        <item x="604"/>
        <item x="215"/>
        <item x="321"/>
        <item x="775"/>
        <item x="552"/>
        <item x="51"/>
        <item x="86"/>
        <item x="354"/>
        <item x="651"/>
        <item x="510"/>
        <item x="658"/>
        <item x="26"/>
        <item x="102"/>
        <item x="740"/>
        <item x="443"/>
        <item x="274"/>
        <item x="99"/>
        <item x="288"/>
        <item x="462"/>
        <item x="294"/>
        <item x="90"/>
        <item x="424"/>
        <item x="534"/>
        <item x="638"/>
        <item x="547"/>
        <item x="81"/>
        <item x="172"/>
        <item x="160"/>
        <item x="492"/>
        <item x="489"/>
        <item x="456"/>
        <item x="109"/>
        <item x="523"/>
        <item x="262"/>
        <item x="660"/>
        <item x="108"/>
        <item x="307"/>
        <item x="421"/>
        <item x="341"/>
        <item x="63"/>
        <item x="368"/>
        <item x="509"/>
        <item x="176"/>
        <item x="241"/>
        <item x="573"/>
        <item x="747"/>
        <item x="36"/>
        <item x="766"/>
        <item x="306"/>
        <item x="340"/>
        <item x="448"/>
        <item x="455"/>
        <item x="441"/>
        <item x="318"/>
        <item x="166"/>
        <item x="486"/>
        <item x="521"/>
        <item x="280"/>
        <item x="619"/>
        <item x="297"/>
        <item x="60"/>
        <item x="419"/>
        <item x="205"/>
        <item x="324"/>
        <item x="27"/>
        <item x="33"/>
        <item x="18"/>
        <item x="4"/>
        <item x="115"/>
        <item x="131"/>
        <item x="210"/>
        <item x="352"/>
        <item x="72"/>
        <item x="119"/>
        <item x="782"/>
        <item x="105"/>
        <item x="697"/>
        <item x="235"/>
        <item x="768"/>
        <item x="97"/>
        <item x="602"/>
        <item x="264"/>
        <item x="254"/>
        <item x="542"/>
        <item x="446"/>
        <item x="188"/>
        <item x="420"/>
        <item x="82"/>
        <item x="139"/>
        <item x="628"/>
        <item x="87"/>
        <item x="127"/>
        <item x="526"/>
        <item x="260"/>
        <item x="239"/>
        <item x="385"/>
        <item x="425"/>
        <item x="581"/>
        <item x="370"/>
        <item x="315"/>
        <item x="537"/>
        <item x="185"/>
        <item x="191"/>
        <item x="450"/>
        <item x="693"/>
        <item x="134"/>
        <item x="735"/>
        <item x="431"/>
        <item x="225"/>
        <item x="107"/>
        <item x="512"/>
        <item x="388"/>
        <item x="588"/>
        <item x="575"/>
        <item x="596"/>
        <item x="461"/>
        <item x="709"/>
        <item x="536"/>
        <item x="372"/>
        <item x="120"/>
        <item x="718"/>
        <item x="187"/>
        <item x="272"/>
        <item x="411"/>
        <item x="328"/>
        <item x="361"/>
        <item x="289"/>
        <item x="165"/>
        <item x="343"/>
        <item x="284"/>
        <item x="145"/>
        <item x="415"/>
        <item x="74"/>
        <item x="640"/>
        <item x="0"/>
        <item x="24"/>
        <item x="246"/>
        <item x="266"/>
        <item x="152"/>
        <item x="477"/>
        <item x="46"/>
        <item x="319"/>
        <item x="444"/>
        <item x="93"/>
        <item x="525"/>
        <item x="221"/>
        <item x="618"/>
        <item x="213"/>
        <item x="55"/>
        <item x="118"/>
        <item x="773"/>
        <item x="220"/>
        <item x="713"/>
        <item x="100"/>
        <item x="256"/>
        <item x="208"/>
        <item x="674"/>
        <item x="754"/>
        <item x="311"/>
        <item x="88"/>
        <item x="281"/>
        <item x="177"/>
        <item x="75"/>
        <item x="273"/>
        <item x="137"/>
        <item x="392"/>
        <item x="428"/>
        <item x="700"/>
        <item x="614"/>
        <item x="345"/>
        <item x="503"/>
        <item x="344"/>
        <item x="373"/>
        <item x="292"/>
        <item x="323"/>
        <item x="685"/>
        <item x="277"/>
        <item x="304"/>
        <item x="228"/>
        <item x="193"/>
        <item x="414"/>
        <item x="124"/>
        <item x="637"/>
        <item x="439"/>
        <item x="712"/>
        <item x="761"/>
        <item x="454"/>
        <item x="133"/>
        <item x="686"/>
        <item x="336"/>
        <item x="417"/>
        <item x="541"/>
        <item x="704"/>
        <item x="192"/>
        <item x="416"/>
        <item x="379"/>
        <item x="692"/>
        <item x="154"/>
        <item x="198"/>
        <item x="77"/>
        <item x="80"/>
        <item x="190"/>
        <item x="117"/>
        <item x="122"/>
        <item x="491"/>
        <item x="94"/>
        <item x="621"/>
        <item x="449"/>
        <item x="758"/>
        <item x="376"/>
        <item x="313"/>
        <item x="168"/>
        <item x="132"/>
        <item x="25"/>
        <item x="9"/>
        <item x="174"/>
        <item x="397"/>
        <item x="182"/>
        <item x="769"/>
        <item x="430"/>
        <item x="580"/>
        <item x="586"/>
        <item x="459"/>
        <item x="661"/>
        <item x="422"/>
        <item x="181"/>
        <item x="58"/>
        <item x="253"/>
        <item x="615"/>
        <item x="553"/>
        <item x="331"/>
        <item x="494"/>
        <item x="175"/>
        <item x="232"/>
        <item x="35"/>
        <item x="356"/>
        <item x="457"/>
        <item x="59"/>
        <item x="189"/>
        <item x="40"/>
        <item x="409"/>
        <item x="194"/>
        <item x="170"/>
        <item x="293"/>
        <item x="751"/>
        <item x="613"/>
        <item x="511"/>
        <item x="445"/>
        <item x="68"/>
        <item x="186"/>
        <item x="669"/>
        <item x="283"/>
        <item x="169"/>
        <item x="71"/>
        <item x="223"/>
        <item x="121"/>
        <item x="630"/>
        <item x="112"/>
        <item x="96"/>
        <item x="204"/>
        <item x="54"/>
        <item x="12"/>
        <item x="10"/>
        <item x="504"/>
        <item x="207"/>
        <item x="219"/>
        <item x="91"/>
        <item x="398"/>
        <item x="689"/>
        <item x="179"/>
        <item x="130"/>
        <item x="279"/>
        <item x="314"/>
        <item x="116"/>
        <item x="216"/>
        <item x="183"/>
        <item x="312"/>
        <item x="302"/>
        <item x="135"/>
        <item x="104"/>
        <item x="386"/>
        <item x="750"/>
        <item x="528"/>
        <item x="507"/>
        <item x="729"/>
        <item x="759"/>
        <item x="140"/>
        <item x="92"/>
        <item x="83"/>
        <item x="85"/>
        <item x="153"/>
        <item x="56"/>
        <item x="53"/>
        <item x="147"/>
        <item x="348"/>
        <item x="199"/>
        <item x="162"/>
        <item x="106"/>
        <item x="146"/>
        <item x="43"/>
        <item x="599"/>
        <item x="57"/>
        <item x="159"/>
        <item x="141"/>
        <item x="520"/>
        <item x="66"/>
        <item x="226"/>
        <item x="15"/>
        <item x="607"/>
        <item x="125"/>
        <item x="298"/>
        <item x="73"/>
        <item x="399"/>
        <item x="381"/>
        <item x="129"/>
        <item x="426"/>
        <item x="64"/>
        <item x="259"/>
        <item x="101"/>
        <item x="156"/>
        <item x="591"/>
        <item x="142"/>
        <item x="157"/>
        <item x="164"/>
        <item x="89"/>
        <item x="377"/>
        <item x="167"/>
        <item x="282"/>
        <item x="517"/>
        <item x="451"/>
        <item x="244"/>
        <item x="285"/>
        <item x="412"/>
        <item x="656"/>
        <item x="184"/>
        <item x="301"/>
        <item x="231"/>
        <item x="333"/>
        <item x="201"/>
        <item x="196"/>
        <item x="79"/>
        <item x="583"/>
        <item x="670"/>
        <item x="95"/>
        <item x="110"/>
        <item x="255"/>
        <item t="default"/>
      </items>
    </pivotField>
    <pivotField showAll="0"/>
    <pivotField showAll="0"/>
    <pivotField showAll="0"/>
    <pivotField dataField="1" showAll="0">
      <items count="940">
        <item x="794"/>
        <item x="347"/>
        <item x="139"/>
        <item x="683"/>
        <item x="618"/>
        <item x="108"/>
        <item x="28"/>
        <item x="578"/>
        <item x="919"/>
        <item x="588"/>
        <item x="114"/>
        <item x="864"/>
        <item x="505"/>
        <item x="40"/>
        <item x="725"/>
        <item x="762"/>
        <item x="509"/>
        <item x="804"/>
        <item x="324"/>
        <item x="494"/>
        <item x="245"/>
        <item x="469"/>
        <item x="372"/>
        <item x="458"/>
        <item x="419"/>
        <item x="453"/>
        <item x="413"/>
        <item x="316"/>
        <item x="748"/>
        <item x="159"/>
        <item x="493"/>
        <item x="754"/>
        <item x="85"/>
        <item x="283"/>
        <item x="741"/>
        <item x="900"/>
        <item x="532"/>
        <item x="211"/>
        <item x="204"/>
        <item x="82"/>
        <item x="225"/>
        <item x="661"/>
        <item x="798"/>
        <item x="322"/>
        <item x="79"/>
        <item x="722"/>
        <item x="362"/>
        <item x="350"/>
        <item x="909"/>
        <item x="581"/>
        <item x="456"/>
        <item x="727"/>
        <item x="856"/>
        <item x="83"/>
        <item x="814"/>
        <item x="38"/>
        <item x="435"/>
        <item x="521"/>
        <item x="374"/>
        <item x="208"/>
        <item x="875"/>
        <item x="418"/>
        <item x="334"/>
        <item x="569"/>
        <item x="774"/>
        <item x="272"/>
        <item x="874"/>
        <item x="46"/>
        <item x="23"/>
        <item x="653"/>
        <item x="477"/>
        <item x="253"/>
        <item x="815"/>
        <item x="7"/>
        <item x="885"/>
        <item x="832"/>
        <item x="181"/>
        <item x="187"/>
        <item x="17"/>
        <item x="451"/>
        <item x="799"/>
        <item x="819"/>
        <item x="27"/>
        <item x="541"/>
        <item x="116"/>
        <item x="422"/>
        <item x="733"/>
        <item x="388"/>
        <item x="126"/>
        <item x="32"/>
        <item x="615"/>
        <item x="8"/>
        <item x="895"/>
        <item x="18"/>
        <item x="360"/>
        <item x="189"/>
        <item x="465"/>
        <item x="851"/>
        <item x="641"/>
        <item x="650"/>
        <item x="342"/>
        <item x="386"/>
        <item x="672"/>
        <item x="248"/>
        <item x="310"/>
        <item x="901"/>
        <item x="385"/>
        <item x="854"/>
        <item x="840"/>
        <item x="764"/>
        <item x="839"/>
        <item x="503"/>
        <item x="714"/>
        <item x="891"/>
        <item x="434"/>
        <item x="728"/>
        <item x="136"/>
        <item x="428"/>
        <item x="365"/>
        <item x="131"/>
        <item x="506"/>
        <item x="784"/>
        <item x="256"/>
        <item x="407"/>
        <item x="319"/>
        <item x="740"/>
        <item x="103"/>
        <item x="582"/>
        <item x="485"/>
        <item x="395"/>
        <item x="872"/>
        <item x="746"/>
        <item x="530"/>
        <item x="936"/>
        <item x="460"/>
        <item x="353"/>
        <item x="99"/>
        <item x="160"/>
        <item x="5"/>
        <item x="145"/>
        <item x="261"/>
        <item x="480"/>
        <item x="810"/>
        <item x="827"/>
        <item x="844"/>
        <item x="777"/>
        <item x="442"/>
        <item x="446"/>
        <item x="77"/>
        <item x="141"/>
        <item x="487"/>
        <item x="166"/>
        <item x="523"/>
        <item x="667"/>
        <item x="884"/>
        <item x="563"/>
        <item x="751"/>
        <item x="39"/>
        <item x="515"/>
        <item x="489"/>
        <item x="857"/>
        <item x="903"/>
        <item x="529"/>
        <item x="600"/>
        <item x="805"/>
        <item x="508"/>
        <item x="731"/>
        <item x="861"/>
        <item x="356"/>
        <item x="783"/>
        <item x="491"/>
        <item x="518"/>
        <item x="905"/>
        <item x="546"/>
        <item x="608"/>
        <item x="495"/>
        <item x="43"/>
        <item x="551"/>
        <item x="666"/>
        <item x="915"/>
        <item x="312"/>
        <item x="119"/>
        <item x="767"/>
        <item x="91"/>
        <item x="358"/>
        <item x="270"/>
        <item x="349"/>
        <item x="890"/>
        <item x="649"/>
        <item x="329"/>
        <item x="922"/>
        <item x="142"/>
        <item x="829"/>
        <item x="594"/>
        <item x="736"/>
        <item x="361"/>
        <item x="809"/>
        <item x="21"/>
        <item x="448"/>
        <item x="3"/>
        <item x="562"/>
        <item x="849"/>
        <item x="601"/>
        <item x="593"/>
        <item x="821"/>
        <item x="787"/>
        <item x="906"/>
        <item x="179"/>
        <item x="466"/>
        <item x="380"/>
        <item x="355"/>
        <item x="893"/>
        <item x="137"/>
        <item x="158"/>
        <item x="31"/>
        <item x="790"/>
        <item x="122"/>
        <item x="792"/>
        <item x="645"/>
        <item x="238"/>
        <item x="178"/>
        <item x="869"/>
        <item x="511"/>
        <item x="259"/>
        <item x="853"/>
        <item x="897"/>
        <item x="433"/>
        <item x="531"/>
        <item x="637"/>
        <item x="571"/>
        <item x="313"/>
        <item x="60"/>
        <item x="892"/>
        <item x="700"/>
        <item x="704"/>
        <item x="528"/>
        <item x="826"/>
        <item x="634"/>
        <item x="223"/>
        <item x="766"/>
        <item x="694"/>
        <item x="239"/>
        <item x="452"/>
        <item x="95"/>
        <item x="455"/>
        <item x="938"/>
        <item x="327"/>
        <item x="522"/>
        <item x="640"/>
        <item x="703"/>
        <item x="89"/>
        <item x="706"/>
        <item x="889"/>
        <item x="96"/>
        <item x="630"/>
        <item x="902"/>
        <item x="710"/>
        <item x="876"/>
        <item x="220"/>
        <item x="461"/>
        <item x="735"/>
        <item x="249"/>
        <item x="716"/>
        <item x="914"/>
        <item x="12"/>
        <item x="497"/>
        <item x="336"/>
        <item x="246"/>
        <item x="321"/>
        <item x="473"/>
        <item x="399"/>
        <item x="1"/>
        <item x="907"/>
        <item x="604"/>
        <item x="174"/>
        <item x="605"/>
        <item x="811"/>
        <item x="726"/>
        <item x="538"/>
        <item x="888"/>
        <item x="517"/>
        <item x="737"/>
        <item x="684"/>
        <item x="123"/>
        <item x="816"/>
        <item x="6"/>
        <item x="150"/>
        <item x="744"/>
        <item x="55"/>
        <item x="345"/>
        <item x="176"/>
        <item x="409"/>
        <item x="492"/>
        <item x="199"/>
        <item x="717"/>
        <item x="655"/>
        <item x="190"/>
        <item x="280"/>
        <item x="512"/>
        <item x="394"/>
        <item x="841"/>
        <item x="0"/>
        <item x="135"/>
        <item x="614"/>
        <item x="54"/>
        <item x="383"/>
        <item x="2"/>
        <item x="679"/>
        <item x="598"/>
        <item x="307"/>
        <item x="143"/>
        <item x="305"/>
        <item x="675"/>
        <item x="616"/>
        <item x="128"/>
        <item x="70"/>
        <item x="835"/>
        <item x="701"/>
        <item x="536"/>
        <item x="443"/>
        <item x="258"/>
        <item x="670"/>
        <item x="912"/>
        <item x="656"/>
        <item x="791"/>
        <item x="62"/>
        <item x="216"/>
        <item x="161"/>
        <item x="484"/>
        <item x="87"/>
        <item x="369"/>
        <item x="510"/>
        <item x="390"/>
        <item x="423"/>
        <item x="626"/>
        <item x="825"/>
        <item x="209"/>
        <item x="930"/>
        <item x="620"/>
        <item x="937"/>
        <item x="833"/>
        <item x="197"/>
        <item x="325"/>
        <item x="681"/>
        <item x="430"/>
        <item x="354"/>
        <item x="94"/>
        <item x="782"/>
        <item x="883"/>
        <item x="412"/>
        <item x="107"/>
        <item x="76"/>
        <item x="519"/>
        <item x="264"/>
        <item x="669"/>
        <item x="387"/>
        <item x="71"/>
        <item x="57"/>
        <item x="924"/>
        <item x="113"/>
        <item x="870"/>
        <item x="93"/>
        <item x="346"/>
        <item x="708"/>
        <item x="712"/>
        <item x="612"/>
        <item x="226"/>
        <item x="339"/>
        <item x="482"/>
        <item x="688"/>
        <item x="341"/>
        <item x="105"/>
        <item x="599"/>
        <item x="590"/>
        <item x="224"/>
        <item x="696"/>
        <item x="69"/>
        <item x="502"/>
        <item x="668"/>
        <item x="348"/>
        <item x="676"/>
        <item x="772"/>
        <item x="67"/>
        <item x="879"/>
        <item x="699"/>
        <item x="623"/>
        <item x="693"/>
        <item x="633"/>
        <item x="613"/>
        <item x="377"/>
        <item x="117"/>
        <item x="524"/>
        <item x="823"/>
        <item x="271"/>
        <item x="499"/>
        <item x="363"/>
        <item x="695"/>
        <item x="149"/>
        <item x="848"/>
        <item x="786"/>
        <item x="822"/>
        <item x="416"/>
        <item x="631"/>
        <item x="757"/>
        <item x="120"/>
        <item x="865"/>
        <item x="297"/>
        <item x="277"/>
        <item x="151"/>
        <item x="564"/>
        <item x="565"/>
        <item x="444"/>
        <item x="788"/>
        <item x="697"/>
        <item x="53"/>
        <item x="376"/>
        <item x="172"/>
        <item x="534"/>
        <item x="315"/>
        <item x="147"/>
        <item x="140"/>
        <item x="203"/>
        <item x="776"/>
        <item x="709"/>
        <item x="193"/>
        <item x="366"/>
        <item x="533"/>
        <item x="882"/>
        <item x="156"/>
        <item x="682"/>
        <item x="860"/>
        <item x="719"/>
        <item x="218"/>
        <item x="566"/>
        <item x="765"/>
        <item x="926"/>
        <item x="698"/>
        <item x="463"/>
        <item x="535"/>
        <item x="138"/>
        <item x="576"/>
        <item x="692"/>
        <item x="59"/>
        <item x="611"/>
        <item x="852"/>
        <item x="773"/>
        <item x="843"/>
        <item x="206"/>
        <item x="133"/>
        <item x="847"/>
        <item x="587"/>
        <item x="474"/>
        <item x="486"/>
        <item x="410"/>
        <item x="37"/>
        <item x="808"/>
        <item x="476"/>
        <item x="789"/>
        <item x="806"/>
        <item x="923"/>
        <item x="807"/>
        <item x="828"/>
        <item x="468"/>
        <item x="184"/>
        <item x="478"/>
        <item x="213"/>
        <item x="217"/>
        <item x="871"/>
        <item x="250"/>
        <item x="723"/>
        <item x="393"/>
        <item x="20"/>
        <item x="294"/>
        <item x="768"/>
        <item x="242"/>
        <item x="274"/>
        <item x="296"/>
        <item x="702"/>
        <item x="432"/>
        <item x="619"/>
        <item x="263"/>
        <item x="715"/>
        <item x="625"/>
        <item x="92"/>
        <item x="320"/>
        <item x="629"/>
        <item x="65"/>
        <item x="651"/>
        <item x="244"/>
        <item x="898"/>
        <item x="567"/>
        <item x="750"/>
        <item x="333"/>
        <item x="61"/>
        <item x="797"/>
        <item x="732"/>
        <item x="379"/>
        <item x="175"/>
        <item x="130"/>
        <item x="795"/>
        <item x="636"/>
        <item x="610"/>
        <item x="553"/>
        <item x="603"/>
        <item x="555"/>
        <item x="351"/>
        <item x="877"/>
        <item x="775"/>
        <item x="447"/>
        <item x="602"/>
        <item x="934"/>
        <item x="420"/>
        <item x="918"/>
        <item x="301"/>
        <item x="617"/>
        <item x="674"/>
        <item x="144"/>
        <item x="337"/>
        <item x="112"/>
        <item x="414"/>
        <item x="279"/>
        <item x="691"/>
        <item x="323"/>
        <item x="734"/>
        <item x="868"/>
        <item x="685"/>
        <item x="359"/>
        <item x="201"/>
        <item x="44"/>
        <item x="817"/>
        <item x="758"/>
        <item x="273"/>
        <item x="4"/>
        <item x="913"/>
        <item x="401"/>
        <item x="910"/>
        <item x="796"/>
        <item x="266"/>
        <item x="481"/>
        <item x="252"/>
        <item x="513"/>
        <item x="632"/>
        <item x="50"/>
        <item x="153"/>
        <item x="931"/>
        <item x="753"/>
        <item x="711"/>
        <item x="552"/>
        <item x="558"/>
        <item x="384"/>
        <item x="382"/>
        <item x="705"/>
        <item x="646"/>
        <item x="318"/>
        <item x="227"/>
        <item x="749"/>
        <item x="118"/>
        <item x="628"/>
        <item x="146"/>
        <item x="878"/>
        <item x="441"/>
        <item x="231"/>
        <item x="191"/>
        <item x="770"/>
        <item x="928"/>
        <item x="591"/>
        <item x="467"/>
        <item x="894"/>
        <item x="687"/>
        <item x="742"/>
        <item x="162"/>
        <item x="886"/>
        <item x="652"/>
        <item x="643"/>
        <item x="707"/>
        <item x="635"/>
        <item x="660"/>
        <item x="450"/>
        <item x="561"/>
        <item x="431"/>
        <item x="606"/>
        <item x="680"/>
        <item x="285"/>
        <item x="496"/>
        <item x="549"/>
        <item x="572"/>
        <item x="445"/>
        <item x="205"/>
        <item x="180"/>
        <item x="597"/>
        <item x="303"/>
        <item x="168"/>
        <item x="207"/>
        <item x="302"/>
        <item x="22"/>
        <item x="724"/>
        <item x="780"/>
        <item x="268"/>
        <item x="170"/>
        <item x="340"/>
        <item x="880"/>
        <item x="262"/>
        <item x="596"/>
        <item x="391"/>
        <item x="824"/>
        <item x="664"/>
        <item x="866"/>
        <item x="48"/>
        <item x="689"/>
        <item x="86"/>
        <item x="867"/>
        <item x="752"/>
        <item x="577"/>
        <item x="371"/>
        <item x="286"/>
        <item x="132"/>
        <item x="222"/>
        <item x="81"/>
        <item x="812"/>
        <item x="659"/>
        <item x="405"/>
        <item x="111"/>
        <item x="498"/>
        <item x="479"/>
        <item x="836"/>
        <item x="335"/>
        <item x="424"/>
        <item x="171"/>
        <item x="299"/>
        <item x="644"/>
        <item x="64"/>
        <item x="75"/>
        <item x="68"/>
        <item x="411"/>
        <item x="84"/>
        <item x="592"/>
        <item x="331"/>
        <item x="243"/>
        <item x="932"/>
        <item x="308"/>
        <item x="803"/>
        <item x="165"/>
        <item x="761"/>
        <item x="873"/>
        <item x="90"/>
        <item x="470"/>
        <item x="454"/>
        <item x="183"/>
        <item x="739"/>
        <item x="472"/>
        <item x="763"/>
        <item x="124"/>
        <item x="471"/>
        <item x="212"/>
        <item x="863"/>
        <item x="801"/>
        <item x="622"/>
        <item x="917"/>
        <item x="41"/>
        <item x="402"/>
        <item x="862"/>
        <item x="658"/>
        <item x="267"/>
        <item x="747"/>
        <item x="579"/>
        <item x="820"/>
        <item x="548"/>
        <item x="237"/>
        <item x="109"/>
        <item x="547"/>
        <item x="45"/>
        <item x="30"/>
        <item x="104"/>
        <item x="102"/>
        <item x="309"/>
        <item x="295"/>
        <item x="157"/>
        <item x="516"/>
        <item x="720"/>
        <item x="251"/>
        <item x="392"/>
        <item x="235"/>
        <item x="449"/>
        <item x="115"/>
        <item x="500"/>
        <item x="585"/>
        <item x="304"/>
        <item x="173"/>
        <item x="314"/>
        <item x="729"/>
        <item x="575"/>
        <item x="74"/>
        <item x="793"/>
        <item x="228"/>
        <item x="110"/>
        <item x="621"/>
        <item x="429"/>
        <item x="127"/>
        <item x="570"/>
        <item x="196"/>
        <item x="281"/>
        <item x="398"/>
        <item x="745"/>
        <item x="330"/>
        <item x="255"/>
        <item x="36"/>
        <item x="671"/>
        <item x="584"/>
        <item x="298"/>
        <item x="344"/>
        <item x="155"/>
        <item x="257"/>
        <item x="219"/>
        <item x="543"/>
        <item x="545"/>
        <item x="721"/>
        <item x="544"/>
        <item x="215"/>
        <item x="169"/>
        <item x="254"/>
        <item x="33"/>
        <item x="845"/>
        <item x="560"/>
        <item x="507"/>
        <item x="779"/>
        <item x="800"/>
        <item x="260"/>
        <item x="436"/>
        <item x="368"/>
        <item x="291"/>
        <item x="34"/>
        <item x="663"/>
        <item x="881"/>
        <item x="265"/>
        <item x="134"/>
        <item x="97"/>
        <item x="488"/>
        <item x="338"/>
        <item x="609"/>
        <item x="317"/>
        <item x="887"/>
        <item x="678"/>
        <item x="501"/>
        <item x="194"/>
        <item x="556"/>
        <item x="438"/>
        <item x="125"/>
        <item x="539"/>
        <item x="559"/>
        <item x="241"/>
        <item x="188"/>
        <item x="293"/>
        <item x="624"/>
        <item x="760"/>
        <item x="662"/>
        <item x="738"/>
        <item x="24"/>
        <item x="415"/>
        <item x="802"/>
        <item x="202"/>
        <item x="573"/>
        <item x="929"/>
        <item x="232"/>
        <item x="921"/>
        <item x="154"/>
        <item x="229"/>
        <item x="326"/>
        <item x="98"/>
        <item x="457"/>
        <item x="542"/>
        <item x="504"/>
        <item x="525"/>
        <item x="42"/>
        <item x="462"/>
        <item x="80"/>
        <item x="182"/>
        <item x="648"/>
        <item x="195"/>
        <item x="933"/>
        <item x="375"/>
        <item x="718"/>
        <item x="78"/>
        <item x="842"/>
        <item x="311"/>
        <item x="520"/>
        <item x="236"/>
        <item x="743"/>
        <item x="152"/>
        <item x="475"/>
        <item x="677"/>
        <item x="73"/>
        <item x="483"/>
        <item x="927"/>
        <item x="10"/>
        <item x="19"/>
        <item x="586"/>
        <item x="52"/>
        <item x="595"/>
        <item x="916"/>
        <item x="583"/>
        <item x="148"/>
        <item x="192"/>
        <item x="673"/>
        <item x="568"/>
        <item x="278"/>
        <item x="66"/>
        <item x="370"/>
        <item x="282"/>
        <item x="404"/>
        <item x="13"/>
        <item x="58"/>
        <item x="896"/>
        <item x="437"/>
        <item x="638"/>
        <item x="49"/>
        <item x="769"/>
        <item x="275"/>
        <item x="343"/>
        <item x="56"/>
        <item x="306"/>
        <item x="352"/>
        <item x="292"/>
        <item x="163"/>
        <item x="537"/>
        <item x="332"/>
        <item x="63"/>
        <item x="440"/>
        <item x="26"/>
        <item x="72"/>
        <item x="400"/>
        <item x="426"/>
        <item x="526"/>
        <item x="607"/>
        <item x="713"/>
        <item x="381"/>
        <item x="284"/>
        <item x="425"/>
        <item x="514"/>
        <item x="550"/>
        <item x="781"/>
        <item x="269"/>
        <item x="11"/>
        <item x="759"/>
        <item x="654"/>
        <item x="818"/>
        <item x="357"/>
        <item x="403"/>
        <item x="421"/>
        <item x="240"/>
        <item x="935"/>
        <item x="221"/>
        <item x="51"/>
        <item x="755"/>
        <item x="101"/>
        <item x="288"/>
        <item x="859"/>
        <item x="287"/>
        <item x="406"/>
        <item x="647"/>
        <item x="527"/>
        <item x="247"/>
        <item x="290"/>
        <item x="210"/>
        <item x="328"/>
        <item x="29"/>
        <item x="396"/>
        <item x="838"/>
        <item x="47"/>
        <item x="665"/>
        <item x="129"/>
        <item x="627"/>
        <item x="574"/>
        <item x="230"/>
        <item x="830"/>
        <item x="367"/>
        <item x="855"/>
        <item x="846"/>
        <item x="397"/>
        <item x="837"/>
        <item x="778"/>
        <item x="580"/>
        <item x="186"/>
        <item x="639"/>
        <item x="417"/>
        <item x="185"/>
        <item x="690"/>
        <item x="378"/>
        <item x="756"/>
        <item x="925"/>
        <item x="439"/>
        <item x="554"/>
        <item x="459"/>
        <item x="540"/>
        <item x="234"/>
        <item x="35"/>
        <item x="642"/>
        <item x="831"/>
        <item x="904"/>
        <item x="850"/>
        <item x="88"/>
        <item x="106"/>
        <item x="214"/>
        <item x="164"/>
        <item x="233"/>
        <item x="657"/>
        <item x="300"/>
        <item x="858"/>
        <item x="408"/>
        <item x="785"/>
        <item x="389"/>
        <item x="121"/>
        <item x="908"/>
        <item x="427"/>
        <item x="771"/>
        <item x="911"/>
        <item x="920"/>
        <item x="167"/>
        <item x="25"/>
        <item x="276"/>
        <item x="464"/>
        <item x="589"/>
        <item x="813"/>
        <item x="373"/>
        <item x="557"/>
        <item x="834"/>
        <item x="289"/>
        <item x="198"/>
        <item x="177"/>
        <item x="899"/>
        <item x="16"/>
        <item x="364"/>
        <item x="15"/>
        <item x="9"/>
        <item x="686"/>
        <item x="14"/>
        <item x="490"/>
        <item x="100"/>
        <item x="730"/>
        <item x="200"/>
        <item t="default"/>
      </items>
    </pivotField>
    <pivotField showAll="0" measureFilter="1" sortType="descending">
      <items count="6">
        <item x="3"/>
        <item x="1"/>
        <item x="2"/>
        <item x="0"/>
        <item x="4"/>
        <item t="default"/>
      </items>
      <autoSortScope>
        <pivotArea dataOnly="0" outline="0" fieldPosition="0">
          <references count="1">
            <reference field="4294967294" count="1" selected="0">
              <x v="0"/>
            </reference>
          </references>
        </pivotArea>
      </autoSortScope>
    </pivotField>
  </pivotFields>
  <rowFields count="1">
    <field x="0"/>
  </rowFields>
  <rowItems count="11">
    <i>
      <x v="485"/>
    </i>
    <i>
      <x v="808"/>
    </i>
    <i>
      <x v="838"/>
    </i>
    <i>
      <x v="760"/>
    </i>
    <i>
      <x v="800"/>
    </i>
    <i>
      <x v="718"/>
    </i>
    <i>
      <x v="457"/>
    </i>
    <i>
      <x v="784"/>
    </i>
    <i>
      <x v="629"/>
    </i>
    <i>
      <x v="819"/>
    </i>
    <i t="grand">
      <x/>
    </i>
  </rowItems>
  <colItems count="1">
    <i/>
  </colItems>
  <pageFields count="2">
    <pageField fld="4" hier="-1"/>
    <pageField fld="2" hier="-1"/>
  </pageFields>
  <dataFields count="1">
    <dataField name="Average of Engagement_Rate" fld="10" subtotal="average" baseField="2" baseItem="1" numFmtId="10"/>
  </dataFields>
  <pivotTableStyleInfo name="PivotStyleLight16" showRowHeaders="1" showColHeaders="1" showRowStripes="0" showColStripes="0" showLastColumn="1"/>
  <filters count="2">
    <filter fld="0" type="count" evalOrder="-1" id="2" iMeasureFld="0">
      <autoFilter ref="A1">
        <filterColumn colId="0">
          <top10 val="10" filterVal="10"/>
        </filterColumn>
      </autoFilter>
    </filter>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2D8178-4664-447A-90D6-E27A4E4D1425}" name="Category Analysi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C14" firstHeaderRow="0" firstDataRow="1" firstDataCol="1" rowPageCount="1" colPageCount="1"/>
  <pivotFields count="11">
    <pivotField dataField="1" showAll="0"/>
    <pivotField showAll="0"/>
    <pivotField axis="axisRow" showAll="0" measureFilter="1" sortType="descending">
      <items count="156">
        <item x="61"/>
        <item x="154"/>
        <item x="87"/>
        <item x="129"/>
        <item x="124"/>
        <item x="49"/>
        <item x="1"/>
        <item x="97"/>
        <item x="0"/>
        <item x="125"/>
        <item x="145"/>
        <item x="45"/>
        <item x="39"/>
        <item x="120"/>
        <item x="126"/>
        <item x="105"/>
        <item x="50"/>
        <item x="68"/>
        <item x="58"/>
        <item x="62"/>
        <item x="32"/>
        <item x="128"/>
        <item x="48"/>
        <item x="109"/>
        <item x="63"/>
        <item x="14"/>
        <item x="43"/>
        <item x="96"/>
        <item x="112"/>
        <item x="33"/>
        <item x="7"/>
        <item x="101"/>
        <item x="10"/>
        <item x="79"/>
        <item x="80"/>
        <item x="71"/>
        <item x="122"/>
        <item x="70"/>
        <item x="16"/>
        <item x="12"/>
        <item x="53"/>
        <item x="77"/>
        <item x="3"/>
        <item x="127"/>
        <item x="86"/>
        <item x="25"/>
        <item x="15"/>
        <item x="110"/>
        <item x="2"/>
        <item x="31"/>
        <item x="57"/>
        <item x="143"/>
        <item x="29"/>
        <item x="75"/>
        <item x="130"/>
        <item x="99"/>
        <item x="100"/>
        <item x="152"/>
        <item x="150"/>
        <item x="108"/>
        <item x="47"/>
        <item x="119"/>
        <item x="23"/>
        <item x="114"/>
        <item x="121"/>
        <item x="89"/>
        <item x="146"/>
        <item x="28"/>
        <item x="132"/>
        <item x="136"/>
        <item x="30"/>
        <item x="18"/>
        <item x="144"/>
        <item x="95"/>
        <item x="66"/>
        <item x="131"/>
        <item x="46"/>
        <item x="91"/>
        <item x="55"/>
        <item x="9"/>
        <item x="118"/>
        <item x="153"/>
        <item x="42"/>
        <item x="147"/>
        <item x="65"/>
        <item x="52"/>
        <item x="35"/>
        <item x="37"/>
        <item x="84"/>
        <item x="82"/>
        <item x="21"/>
        <item x="104"/>
        <item x="6"/>
        <item x="92"/>
        <item x="113"/>
        <item x="81"/>
        <item x="5"/>
        <item x="102"/>
        <item x="54"/>
        <item x="123"/>
        <item x="51"/>
        <item x="103"/>
        <item x="139"/>
        <item x="60"/>
        <item x="115"/>
        <item x="74"/>
        <item x="111"/>
        <item x="148"/>
        <item x="59"/>
        <item x="69"/>
        <item x="40"/>
        <item x="56"/>
        <item x="11"/>
        <item x="38"/>
        <item x="44"/>
        <item x="22"/>
        <item x="24"/>
        <item x="133"/>
        <item x="76"/>
        <item x="34"/>
        <item x="27"/>
        <item x="134"/>
        <item x="85"/>
        <item x="17"/>
        <item x="4"/>
        <item x="106"/>
        <item x="78"/>
        <item x="90"/>
        <item x="41"/>
        <item x="8"/>
        <item x="93"/>
        <item x="138"/>
        <item x="151"/>
        <item x="94"/>
        <item x="36"/>
        <item x="135"/>
        <item x="142"/>
        <item x="98"/>
        <item x="149"/>
        <item x="67"/>
        <item x="73"/>
        <item x="107"/>
        <item x="64"/>
        <item x="26"/>
        <item x="19"/>
        <item x="83"/>
        <item x="117"/>
        <item x="116"/>
        <item x="140"/>
        <item x="13"/>
        <item x="137"/>
        <item x="72"/>
        <item x="20"/>
        <item x="141"/>
        <item x="8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35">
        <item h="1" x="32"/>
        <item h="1" x="28"/>
        <item h="1" x="1"/>
        <item h="1" x="3"/>
        <item h="1" x="30"/>
        <item h="1" x="13"/>
        <item h="1" x="15"/>
        <item h="1" x="10"/>
        <item h="1" x="8"/>
        <item h="1" x="22"/>
        <item x="0"/>
        <item x="4"/>
        <item h="1" x="14"/>
        <item h="1" x="21"/>
        <item h="1" x="9"/>
        <item h="1" x="27"/>
        <item h="1" x="31"/>
        <item h="1" x="6"/>
        <item h="1" x="24"/>
        <item h="1" x="23"/>
        <item h="1" x="33"/>
        <item h="1" x="16"/>
        <item h="1" x="18"/>
        <item h="1" x="7"/>
        <item h="1" x="29"/>
        <item h="1" x="5"/>
        <item h="1" x="12"/>
        <item h="1" x="25"/>
        <item h="1" x="19"/>
        <item h="1" x="11"/>
        <item h="1" x="26"/>
        <item h="1" x="20"/>
        <item h="1" x="2"/>
        <item h="1" x="17"/>
        <item t="default"/>
      </items>
    </pivotField>
    <pivotField showAll="0"/>
    <pivotField showAll="0"/>
    <pivotField showAll="0">
      <items count="414">
        <item x="378"/>
        <item x="408"/>
        <item x="372"/>
        <item x="367"/>
        <item x="410"/>
        <item x="390"/>
        <item x="412"/>
        <item x="385"/>
        <item x="397"/>
        <item x="332"/>
        <item x="366"/>
        <item x="346"/>
        <item x="394"/>
        <item x="387"/>
        <item x="362"/>
        <item x="350"/>
        <item x="360"/>
        <item x="364"/>
        <item x="382"/>
        <item x="407"/>
        <item x="369"/>
        <item x="284"/>
        <item x="356"/>
        <item x="288"/>
        <item x="341"/>
        <item x="307"/>
        <item x="300"/>
        <item x="389"/>
        <item x="313"/>
        <item x="267"/>
        <item x="243"/>
        <item x="303"/>
        <item x="342"/>
        <item x="291"/>
        <item x="292"/>
        <item x="297"/>
        <item x="244"/>
        <item x="402"/>
        <item x="299"/>
        <item x="383"/>
        <item x="180"/>
        <item x="344"/>
        <item x="312"/>
        <item x="401"/>
        <item x="246"/>
        <item x="314"/>
        <item x="381"/>
        <item x="212"/>
        <item x="375"/>
        <item x="270"/>
        <item x="289"/>
        <item x="232"/>
        <item x="283"/>
        <item x="235"/>
        <item x="242"/>
        <item x="241"/>
        <item x="160"/>
        <item x="327"/>
        <item x="213"/>
        <item x="331"/>
        <item x="357"/>
        <item x="194"/>
        <item x="359"/>
        <item x="337"/>
        <item x="221"/>
        <item x="209"/>
        <item x="311"/>
        <item x="93"/>
        <item x="320"/>
        <item x="153"/>
        <item x="256"/>
        <item x="201"/>
        <item x="265"/>
        <item x="215"/>
        <item x="169"/>
        <item x="347"/>
        <item x="247"/>
        <item x="348"/>
        <item x="168"/>
        <item x="150"/>
        <item x="190"/>
        <item x="260"/>
        <item x="216"/>
        <item x="405"/>
        <item x="345"/>
        <item x="325"/>
        <item x="317"/>
        <item x="257"/>
        <item x="326"/>
        <item x="315"/>
        <item x="373"/>
        <item x="245"/>
        <item x="112"/>
        <item x="274"/>
        <item x="184"/>
        <item x="370"/>
        <item x="233"/>
        <item x="120"/>
        <item x="393"/>
        <item x="248"/>
        <item x="211"/>
        <item x="165"/>
        <item x="231"/>
        <item x="290"/>
        <item x="293"/>
        <item x="269"/>
        <item x="174"/>
        <item x="142"/>
        <item x="225"/>
        <item x="208"/>
        <item x="286"/>
        <item x="177"/>
        <item x="149"/>
        <item x="229"/>
        <item x="99"/>
        <item x="84"/>
        <item x="353"/>
        <item x="176"/>
        <item x="237"/>
        <item x="252"/>
        <item x="223"/>
        <item x="218"/>
        <item x="199"/>
        <item x="214"/>
        <item x="219"/>
        <item x="365"/>
        <item x="195"/>
        <item x="374"/>
        <item x="396"/>
        <item x="409"/>
        <item x="155"/>
        <item x="137"/>
        <item x="186"/>
        <item x="296"/>
        <item x="399"/>
        <item x="301"/>
        <item x="234"/>
        <item x="178"/>
        <item x="363"/>
        <item x="124"/>
        <item x="249"/>
        <item x="94"/>
        <item x="143"/>
        <item x="261"/>
        <item x="251"/>
        <item x="207"/>
        <item x="308"/>
        <item x="192"/>
        <item x="404"/>
        <item x="202"/>
        <item x="258"/>
        <item x="285"/>
        <item x="210"/>
        <item x="250"/>
        <item x="188"/>
        <item x="358"/>
        <item x="224"/>
        <item x="386"/>
        <item x="157"/>
        <item x="116"/>
        <item x="166"/>
        <item x="306"/>
        <item x="392"/>
        <item x="277"/>
        <item x="273"/>
        <item x="298"/>
        <item x="406"/>
        <item x="193"/>
        <item x="275"/>
        <item x="91"/>
        <item x="336"/>
        <item x="264"/>
        <item x="107"/>
        <item x="163"/>
        <item x="151"/>
        <item x="144"/>
        <item x="117"/>
        <item x="398"/>
        <item x="340"/>
        <item x="154"/>
        <item x="122"/>
        <item x="173"/>
        <item x="368"/>
        <item x="76"/>
        <item x="183"/>
        <item x="92"/>
        <item x="395"/>
        <item x="197"/>
        <item x="68"/>
        <item x="217"/>
        <item x="254"/>
        <item x="361"/>
        <item x="238"/>
        <item x="316"/>
        <item x="253"/>
        <item x="69"/>
        <item x="198"/>
        <item x="74"/>
        <item x="115"/>
        <item x="204"/>
        <item x="135"/>
        <item x="272"/>
        <item x="354"/>
        <item x="97"/>
        <item x="62"/>
        <item x="167"/>
        <item x="141"/>
        <item x="158"/>
        <item x="102"/>
        <item x="59"/>
        <item x="411"/>
        <item x="330"/>
        <item x="266"/>
        <item x="391"/>
        <item x="103"/>
        <item x="187"/>
        <item x="175"/>
        <item x="156"/>
        <item x="335"/>
        <item x="403"/>
        <item x="95"/>
        <item x="279"/>
        <item x="52"/>
        <item x="343"/>
        <item x="239"/>
        <item x="48"/>
        <item x="54"/>
        <item x="200"/>
        <item x="227"/>
        <item x="133"/>
        <item x="282"/>
        <item x="281"/>
        <item x="104"/>
        <item x="206"/>
        <item x="324"/>
        <item x="70"/>
        <item x="179"/>
        <item x="85"/>
        <item x="77"/>
        <item x="138"/>
        <item x="45"/>
        <item x="329"/>
        <item x="47"/>
        <item x="123"/>
        <item x="376"/>
        <item x="309"/>
        <item x="80"/>
        <item x="49"/>
        <item x="71"/>
        <item x="380"/>
        <item x="323"/>
        <item x="136"/>
        <item x="196"/>
        <item x="379"/>
        <item x="129"/>
        <item x="268"/>
        <item x="82"/>
        <item x="222"/>
        <item x="60"/>
        <item x="181"/>
        <item x="328"/>
        <item x="318"/>
        <item x="295"/>
        <item x="236"/>
        <item x="351"/>
        <item x="87"/>
        <item x="294"/>
        <item x="228"/>
        <item x="64"/>
        <item x="140"/>
        <item x="111"/>
        <item x="172"/>
        <item x="34"/>
        <item x="148"/>
        <item x="310"/>
        <item x="15"/>
        <item x="159"/>
        <item x="16"/>
        <item x="203"/>
        <item x="14"/>
        <item x="400"/>
        <item x="276"/>
        <item x="41"/>
        <item x="304"/>
        <item x="384"/>
        <item x="377"/>
        <item x="255"/>
        <item x="139"/>
        <item x="100"/>
        <item x="98"/>
        <item x="132"/>
        <item x="25"/>
        <item x="125"/>
        <item x="109"/>
        <item x="28"/>
        <item x="280"/>
        <item x="230"/>
        <item x="105"/>
        <item x="321"/>
        <item x="119"/>
        <item x="319"/>
        <item x="226"/>
        <item x="145"/>
        <item x="161"/>
        <item x="162"/>
        <item x="322"/>
        <item x="46"/>
        <item x="88"/>
        <item x="305"/>
        <item x="33"/>
        <item x="9"/>
        <item x="302"/>
        <item x="334"/>
        <item x="333"/>
        <item x="72"/>
        <item x="131"/>
        <item x="57"/>
        <item x="61"/>
        <item x="65"/>
        <item x="114"/>
        <item x="152"/>
        <item x="271"/>
        <item x="40"/>
        <item x="147"/>
        <item x="67"/>
        <item x="83"/>
        <item x="171"/>
        <item x="262"/>
        <item x="127"/>
        <item x="113"/>
        <item x="35"/>
        <item x="338"/>
        <item x="90"/>
        <item x="352"/>
        <item x="339"/>
        <item x="32"/>
        <item x="66"/>
        <item x="170"/>
        <item x="63"/>
        <item x="89"/>
        <item x="134"/>
        <item x="349"/>
        <item x="287"/>
        <item x="240"/>
        <item x="263"/>
        <item x="55"/>
        <item x="24"/>
        <item x="205"/>
        <item x="19"/>
        <item x="130"/>
        <item x="110"/>
        <item x="126"/>
        <item x="185"/>
        <item x="58"/>
        <item x="259"/>
        <item x="164"/>
        <item x="43"/>
        <item x="29"/>
        <item x="53"/>
        <item x="220"/>
        <item x="13"/>
        <item x="86"/>
        <item x="11"/>
        <item x="371"/>
        <item x="50"/>
        <item x="189"/>
        <item x="51"/>
        <item x="121"/>
        <item x="191"/>
        <item x="355"/>
        <item x="36"/>
        <item x="118"/>
        <item x="22"/>
        <item x="10"/>
        <item x="96"/>
        <item x="108"/>
        <item x="73"/>
        <item x="56"/>
        <item x="146"/>
        <item x="20"/>
        <item x="79"/>
        <item x="78"/>
        <item x="42"/>
        <item x="75"/>
        <item x="388"/>
        <item x="38"/>
        <item x="81"/>
        <item x="30"/>
        <item x="4"/>
        <item x="278"/>
        <item x="106"/>
        <item x="21"/>
        <item x="44"/>
        <item x="31"/>
        <item x="26"/>
        <item x="12"/>
        <item x="37"/>
        <item x="6"/>
        <item x="101"/>
        <item x="128"/>
        <item x="23"/>
        <item x="2"/>
        <item x="18"/>
        <item x="17"/>
        <item x="3"/>
        <item x="5"/>
        <item x="39"/>
        <item x="8"/>
        <item x="1"/>
        <item x="7"/>
        <item x="0"/>
        <item x="27"/>
        <item x="182"/>
        <item t="default"/>
      </items>
    </pivotField>
    <pivotField showAll="0"/>
    <pivotField showAll="0"/>
    <pivotField dataField="1" showAll="0"/>
  </pivotFields>
  <rowFields count="1">
    <field x="2"/>
  </rowFields>
  <rowItems count="11">
    <i>
      <x v="83"/>
    </i>
    <i>
      <x v="67"/>
    </i>
    <i>
      <x v="138"/>
    </i>
    <i>
      <x v="76"/>
    </i>
    <i>
      <x v="1"/>
    </i>
    <i>
      <x v="79"/>
    </i>
    <i>
      <x v="9"/>
    </i>
    <i>
      <x v="116"/>
    </i>
    <i>
      <x v="143"/>
    </i>
    <i>
      <x v="53"/>
    </i>
    <i t="grand">
      <x/>
    </i>
  </rowItems>
  <colFields count="1">
    <field x="-2"/>
  </colFields>
  <colItems count="2">
    <i>
      <x/>
    </i>
    <i i="1">
      <x v="1"/>
    </i>
  </colItems>
  <pageFields count="1">
    <pageField fld="4" hier="-1"/>
  </pageFields>
  <dataFields count="2">
    <dataField name="Average of Engagement_Rate" fld="10" subtotal="average" baseField="2" baseItem="154" numFmtId="10"/>
    <dataField name="Count of Name" fld="0" subtotal="count" baseField="0" baseItem="0"/>
  </dataField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72873F-BB6E-4B15-89FB-E12712E1F4E1}" name="Performance Analysis"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56:B61" firstHeaderRow="1" firstDataRow="1" firstDataCol="1"/>
  <pivotFields count="12">
    <pivotField showAll="0"/>
    <pivotField showAll="0"/>
    <pivotField showAll="0"/>
    <pivotField showAll="0"/>
    <pivotField showAll="0">
      <items count="35">
        <item x="32"/>
        <item x="28"/>
        <item x="1"/>
        <item x="3"/>
        <item x="30"/>
        <item x="13"/>
        <item x="15"/>
        <item x="10"/>
        <item x="8"/>
        <item x="22"/>
        <item x="0"/>
        <item x="4"/>
        <item x="14"/>
        <item x="21"/>
        <item x="9"/>
        <item x="27"/>
        <item x="31"/>
        <item x="6"/>
        <item x="24"/>
        <item x="23"/>
        <item x="33"/>
        <item x="16"/>
        <item x="18"/>
        <item x="7"/>
        <item x="29"/>
        <item x="5"/>
        <item x="12"/>
        <item x="25"/>
        <item x="19"/>
        <item x="11"/>
        <item x="26"/>
        <item x="20"/>
        <item x="2"/>
        <item x="17"/>
        <item t="default"/>
      </items>
    </pivotField>
    <pivotField showAll="0"/>
    <pivotField showAll="0"/>
    <pivotField showAll="0"/>
    <pivotField showAll="0"/>
    <pivotField showAll="0"/>
    <pivotField dataField="1" showAll="0">
      <items count="940">
        <item x="794"/>
        <item x="347"/>
        <item x="139"/>
        <item x="683"/>
        <item x="618"/>
        <item x="108"/>
        <item x="28"/>
        <item x="578"/>
        <item x="919"/>
        <item x="588"/>
        <item x="114"/>
        <item x="864"/>
        <item x="505"/>
        <item x="40"/>
        <item x="725"/>
        <item x="762"/>
        <item x="509"/>
        <item x="804"/>
        <item x="324"/>
        <item x="494"/>
        <item x="245"/>
        <item x="469"/>
        <item x="372"/>
        <item x="458"/>
        <item x="419"/>
        <item x="453"/>
        <item x="413"/>
        <item x="316"/>
        <item x="748"/>
        <item x="159"/>
        <item x="493"/>
        <item x="754"/>
        <item x="85"/>
        <item x="283"/>
        <item x="741"/>
        <item x="900"/>
        <item x="532"/>
        <item x="211"/>
        <item x="204"/>
        <item x="82"/>
        <item x="225"/>
        <item x="661"/>
        <item x="798"/>
        <item x="322"/>
        <item x="79"/>
        <item x="722"/>
        <item x="362"/>
        <item x="350"/>
        <item x="909"/>
        <item x="581"/>
        <item x="456"/>
        <item x="727"/>
        <item x="856"/>
        <item x="83"/>
        <item x="814"/>
        <item x="38"/>
        <item x="435"/>
        <item x="521"/>
        <item x="374"/>
        <item x="208"/>
        <item x="875"/>
        <item x="418"/>
        <item x="334"/>
        <item x="569"/>
        <item x="774"/>
        <item x="272"/>
        <item x="874"/>
        <item x="46"/>
        <item x="23"/>
        <item x="653"/>
        <item x="477"/>
        <item x="253"/>
        <item x="815"/>
        <item x="7"/>
        <item x="885"/>
        <item x="832"/>
        <item x="181"/>
        <item x="187"/>
        <item x="17"/>
        <item x="451"/>
        <item x="799"/>
        <item x="819"/>
        <item x="27"/>
        <item x="541"/>
        <item x="116"/>
        <item x="422"/>
        <item x="733"/>
        <item x="388"/>
        <item x="126"/>
        <item x="32"/>
        <item x="615"/>
        <item x="8"/>
        <item x="895"/>
        <item x="18"/>
        <item x="360"/>
        <item x="189"/>
        <item x="465"/>
        <item x="851"/>
        <item x="641"/>
        <item x="650"/>
        <item x="342"/>
        <item x="386"/>
        <item x="672"/>
        <item x="248"/>
        <item x="310"/>
        <item x="901"/>
        <item x="385"/>
        <item x="854"/>
        <item x="840"/>
        <item x="764"/>
        <item x="839"/>
        <item x="503"/>
        <item x="714"/>
        <item x="891"/>
        <item x="434"/>
        <item x="728"/>
        <item x="136"/>
        <item x="428"/>
        <item x="365"/>
        <item x="131"/>
        <item x="506"/>
        <item x="784"/>
        <item x="256"/>
        <item x="407"/>
        <item x="319"/>
        <item x="740"/>
        <item x="103"/>
        <item x="582"/>
        <item x="485"/>
        <item x="395"/>
        <item x="872"/>
        <item x="746"/>
        <item x="530"/>
        <item x="936"/>
        <item x="460"/>
        <item x="353"/>
        <item x="99"/>
        <item x="160"/>
        <item x="5"/>
        <item x="145"/>
        <item x="261"/>
        <item x="480"/>
        <item x="810"/>
        <item x="827"/>
        <item x="844"/>
        <item x="777"/>
        <item x="442"/>
        <item x="446"/>
        <item x="77"/>
        <item x="141"/>
        <item x="487"/>
        <item x="166"/>
        <item x="523"/>
        <item x="667"/>
        <item x="884"/>
        <item x="563"/>
        <item x="751"/>
        <item x="39"/>
        <item x="515"/>
        <item x="489"/>
        <item x="857"/>
        <item x="903"/>
        <item x="529"/>
        <item x="600"/>
        <item x="805"/>
        <item x="508"/>
        <item x="731"/>
        <item x="861"/>
        <item x="356"/>
        <item x="783"/>
        <item x="491"/>
        <item x="518"/>
        <item x="905"/>
        <item x="546"/>
        <item x="608"/>
        <item x="495"/>
        <item x="43"/>
        <item x="551"/>
        <item x="666"/>
        <item x="915"/>
        <item x="312"/>
        <item x="119"/>
        <item x="767"/>
        <item x="91"/>
        <item x="358"/>
        <item x="270"/>
        <item x="349"/>
        <item x="890"/>
        <item x="649"/>
        <item x="329"/>
        <item x="922"/>
        <item x="142"/>
        <item x="829"/>
        <item x="594"/>
        <item x="736"/>
        <item x="361"/>
        <item x="809"/>
        <item x="21"/>
        <item x="448"/>
        <item x="3"/>
        <item x="562"/>
        <item x="849"/>
        <item x="601"/>
        <item x="593"/>
        <item x="821"/>
        <item x="787"/>
        <item x="906"/>
        <item x="179"/>
        <item x="466"/>
        <item x="380"/>
        <item x="355"/>
        <item x="893"/>
        <item x="137"/>
        <item x="158"/>
        <item x="31"/>
        <item x="790"/>
        <item x="122"/>
        <item x="792"/>
        <item x="645"/>
        <item x="238"/>
        <item x="178"/>
        <item x="869"/>
        <item x="511"/>
        <item x="259"/>
        <item x="853"/>
        <item x="897"/>
        <item x="433"/>
        <item x="531"/>
        <item x="637"/>
        <item x="571"/>
        <item x="313"/>
        <item x="60"/>
        <item x="892"/>
        <item x="700"/>
        <item x="704"/>
        <item x="528"/>
        <item x="826"/>
        <item x="634"/>
        <item x="223"/>
        <item x="766"/>
        <item x="694"/>
        <item x="239"/>
        <item x="452"/>
        <item x="95"/>
        <item x="455"/>
        <item x="938"/>
        <item x="327"/>
        <item x="522"/>
        <item x="640"/>
        <item x="703"/>
        <item x="89"/>
        <item x="706"/>
        <item x="889"/>
        <item x="96"/>
        <item x="630"/>
        <item x="902"/>
        <item x="710"/>
        <item x="876"/>
        <item x="220"/>
        <item x="461"/>
        <item x="735"/>
        <item x="249"/>
        <item x="716"/>
        <item x="914"/>
        <item x="12"/>
        <item x="497"/>
        <item x="336"/>
        <item x="246"/>
        <item x="321"/>
        <item x="473"/>
        <item x="399"/>
        <item x="1"/>
        <item x="907"/>
        <item x="604"/>
        <item x="174"/>
        <item x="605"/>
        <item x="811"/>
        <item x="726"/>
        <item x="538"/>
        <item x="888"/>
        <item x="517"/>
        <item x="737"/>
        <item x="684"/>
        <item x="123"/>
        <item x="816"/>
        <item x="6"/>
        <item x="150"/>
        <item x="744"/>
        <item x="55"/>
        <item x="345"/>
        <item x="176"/>
        <item x="409"/>
        <item x="492"/>
        <item x="199"/>
        <item x="717"/>
        <item x="655"/>
        <item x="190"/>
        <item x="280"/>
        <item x="512"/>
        <item x="394"/>
        <item x="841"/>
        <item x="0"/>
        <item x="135"/>
        <item x="614"/>
        <item x="54"/>
        <item x="383"/>
        <item x="2"/>
        <item x="679"/>
        <item x="598"/>
        <item x="307"/>
        <item x="143"/>
        <item x="305"/>
        <item x="675"/>
        <item x="616"/>
        <item x="128"/>
        <item x="70"/>
        <item x="835"/>
        <item x="701"/>
        <item x="536"/>
        <item x="443"/>
        <item x="258"/>
        <item x="670"/>
        <item x="912"/>
        <item x="656"/>
        <item x="791"/>
        <item x="62"/>
        <item x="216"/>
        <item x="161"/>
        <item x="484"/>
        <item x="87"/>
        <item x="369"/>
        <item x="510"/>
        <item x="390"/>
        <item x="423"/>
        <item x="626"/>
        <item x="825"/>
        <item x="209"/>
        <item x="930"/>
        <item x="620"/>
        <item x="937"/>
        <item x="833"/>
        <item x="197"/>
        <item x="325"/>
        <item x="681"/>
        <item x="430"/>
        <item x="354"/>
        <item x="94"/>
        <item x="782"/>
        <item x="883"/>
        <item x="412"/>
        <item x="107"/>
        <item x="76"/>
        <item x="519"/>
        <item x="264"/>
        <item x="669"/>
        <item x="387"/>
        <item x="71"/>
        <item x="57"/>
        <item x="924"/>
        <item x="113"/>
        <item x="870"/>
        <item x="93"/>
        <item x="346"/>
        <item x="708"/>
        <item x="712"/>
        <item x="612"/>
        <item x="226"/>
        <item x="339"/>
        <item x="482"/>
        <item x="688"/>
        <item x="341"/>
        <item x="105"/>
        <item x="599"/>
        <item x="590"/>
        <item x="224"/>
        <item x="696"/>
        <item x="69"/>
        <item x="502"/>
        <item x="668"/>
        <item x="348"/>
        <item x="676"/>
        <item x="772"/>
        <item x="67"/>
        <item x="879"/>
        <item x="699"/>
        <item x="623"/>
        <item x="693"/>
        <item x="633"/>
        <item x="613"/>
        <item x="377"/>
        <item x="117"/>
        <item x="524"/>
        <item x="823"/>
        <item x="271"/>
        <item x="499"/>
        <item x="363"/>
        <item x="695"/>
        <item x="149"/>
        <item x="848"/>
        <item x="786"/>
        <item x="822"/>
        <item x="416"/>
        <item x="631"/>
        <item x="757"/>
        <item x="120"/>
        <item x="865"/>
        <item x="297"/>
        <item x="277"/>
        <item x="151"/>
        <item x="564"/>
        <item x="565"/>
        <item x="444"/>
        <item x="788"/>
        <item x="697"/>
        <item x="53"/>
        <item x="376"/>
        <item x="172"/>
        <item x="534"/>
        <item x="315"/>
        <item x="147"/>
        <item x="140"/>
        <item x="203"/>
        <item x="776"/>
        <item x="709"/>
        <item x="193"/>
        <item x="366"/>
        <item x="533"/>
        <item x="882"/>
        <item x="156"/>
        <item x="682"/>
        <item x="860"/>
        <item x="719"/>
        <item x="218"/>
        <item x="566"/>
        <item x="765"/>
        <item x="926"/>
        <item x="698"/>
        <item x="463"/>
        <item x="535"/>
        <item x="138"/>
        <item x="576"/>
        <item x="692"/>
        <item x="59"/>
        <item x="611"/>
        <item x="852"/>
        <item x="773"/>
        <item x="843"/>
        <item x="206"/>
        <item x="133"/>
        <item x="847"/>
        <item x="587"/>
        <item x="474"/>
        <item x="486"/>
        <item x="410"/>
        <item x="37"/>
        <item x="808"/>
        <item x="476"/>
        <item x="789"/>
        <item x="806"/>
        <item x="923"/>
        <item x="807"/>
        <item x="828"/>
        <item x="468"/>
        <item x="184"/>
        <item x="478"/>
        <item x="213"/>
        <item x="217"/>
        <item x="871"/>
        <item x="250"/>
        <item x="723"/>
        <item x="393"/>
        <item x="20"/>
        <item x="294"/>
        <item x="768"/>
        <item x="242"/>
        <item x="274"/>
        <item x="296"/>
        <item x="702"/>
        <item x="432"/>
        <item x="619"/>
        <item x="263"/>
        <item x="715"/>
        <item x="625"/>
        <item x="92"/>
        <item x="320"/>
        <item x="629"/>
        <item x="65"/>
        <item x="651"/>
        <item x="244"/>
        <item x="898"/>
        <item x="567"/>
        <item x="750"/>
        <item x="333"/>
        <item x="61"/>
        <item x="797"/>
        <item x="732"/>
        <item x="379"/>
        <item x="175"/>
        <item x="130"/>
        <item x="795"/>
        <item x="636"/>
        <item x="610"/>
        <item x="553"/>
        <item x="603"/>
        <item x="555"/>
        <item x="351"/>
        <item x="877"/>
        <item x="775"/>
        <item x="447"/>
        <item x="602"/>
        <item x="934"/>
        <item x="420"/>
        <item x="918"/>
        <item x="301"/>
        <item x="617"/>
        <item x="674"/>
        <item x="144"/>
        <item x="337"/>
        <item x="112"/>
        <item x="414"/>
        <item x="279"/>
        <item x="691"/>
        <item x="323"/>
        <item x="734"/>
        <item x="868"/>
        <item x="685"/>
        <item x="359"/>
        <item x="201"/>
        <item x="44"/>
        <item x="817"/>
        <item x="758"/>
        <item x="273"/>
        <item x="4"/>
        <item x="913"/>
        <item x="401"/>
        <item x="910"/>
        <item x="796"/>
        <item x="266"/>
        <item x="481"/>
        <item x="252"/>
        <item x="513"/>
        <item x="632"/>
        <item x="50"/>
        <item x="153"/>
        <item x="931"/>
        <item x="753"/>
        <item x="711"/>
        <item x="552"/>
        <item x="558"/>
        <item x="384"/>
        <item x="382"/>
        <item x="705"/>
        <item x="646"/>
        <item x="318"/>
        <item x="227"/>
        <item x="749"/>
        <item x="118"/>
        <item x="628"/>
        <item x="146"/>
        <item x="878"/>
        <item x="441"/>
        <item x="231"/>
        <item x="191"/>
        <item x="770"/>
        <item x="928"/>
        <item x="591"/>
        <item x="467"/>
        <item x="894"/>
        <item x="687"/>
        <item x="742"/>
        <item x="162"/>
        <item x="886"/>
        <item x="652"/>
        <item x="643"/>
        <item x="707"/>
        <item x="635"/>
        <item x="660"/>
        <item x="450"/>
        <item x="561"/>
        <item x="431"/>
        <item x="606"/>
        <item x="680"/>
        <item x="285"/>
        <item x="496"/>
        <item x="549"/>
        <item x="572"/>
        <item x="445"/>
        <item x="205"/>
        <item x="180"/>
        <item x="597"/>
        <item x="303"/>
        <item x="168"/>
        <item x="207"/>
        <item x="302"/>
        <item x="22"/>
        <item x="724"/>
        <item x="780"/>
        <item x="268"/>
        <item x="170"/>
        <item x="340"/>
        <item x="880"/>
        <item x="262"/>
        <item x="596"/>
        <item x="391"/>
        <item x="824"/>
        <item x="664"/>
        <item x="866"/>
        <item x="48"/>
        <item x="689"/>
        <item x="86"/>
        <item x="867"/>
        <item x="752"/>
        <item x="577"/>
        <item x="371"/>
        <item x="286"/>
        <item x="132"/>
        <item x="222"/>
        <item x="81"/>
        <item x="812"/>
        <item x="659"/>
        <item x="405"/>
        <item x="111"/>
        <item x="498"/>
        <item x="479"/>
        <item x="836"/>
        <item x="335"/>
        <item x="424"/>
        <item x="171"/>
        <item x="299"/>
        <item x="644"/>
        <item x="64"/>
        <item x="75"/>
        <item x="68"/>
        <item x="411"/>
        <item x="84"/>
        <item x="592"/>
        <item x="331"/>
        <item x="243"/>
        <item x="932"/>
        <item x="308"/>
        <item x="803"/>
        <item x="165"/>
        <item x="761"/>
        <item x="873"/>
        <item x="90"/>
        <item x="470"/>
        <item x="454"/>
        <item x="183"/>
        <item x="739"/>
        <item x="472"/>
        <item x="763"/>
        <item x="124"/>
        <item x="471"/>
        <item x="212"/>
        <item x="863"/>
        <item x="801"/>
        <item x="622"/>
        <item x="917"/>
        <item x="41"/>
        <item x="402"/>
        <item x="862"/>
        <item x="658"/>
        <item x="267"/>
        <item x="747"/>
        <item x="579"/>
        <item x="820"/>
        <item x="548"/>
        <item x="237"/>
        <item x="109"/>
        <item x="547"/>
        <item x="45"/>
        <item x="30"/>
        <item x="104"/>
        <item x="102"/>
        <item x="309"/>
        <item x="295"/>
        <item x="157"/>
        <item x="516"/>
        <item x="720"/>
        <item x="251"/>
        <item x="392"/>
        <item x="235"/>
        <item x="449"/>
        <item x="115"/>
        <item x="500"/>
        <item x="585"/>
        <item x="304"/>
        <item x="173"/>
        <item x="314"/>
        <item x="729"/>
        <item x="575"/>
        <item x="74"/>
        <item x="793"/>
        <item x="228"/>
        <item x="110"/>
        <item x="621"/>
        <item x="429"/>
        <item x="127"/>
        <item x="570"/>
        <item x="196"/>
        <item x="281"/>
        <item x="398"/>
        <item x="745"/>
        <item x="330"/>
        <item x="255"/>
        <item x="36"/>
        <item x="671"/>
        <item x="584"/>
        <item x="298"/>
        <item x="344"/>
        <item x="155"/>
        <item x="257"/>
        <item x="219"/>
        <item x="543"/>
        <item x="545"/>
        <item x="721"/>
        <item x="544"/>
        <item x="215"/>
        <item x="169"/>
        <item x="254"/>
        <item x="33"/>
        <item x="845"/>
        <item x="560"/>
        <item x="507"/>
        <item x="779"/>
        <item x="800"/>
        <item x="260"/>
        <item x="436"/>
        <item x="368"/>
        <item x="291"/>
        <item x="34"/>
        <item x="663"/>
        <item x="881"/>
        <item x="265"/>
        <item x="134"/>
        <item x="97"/>
        <item x="488"/>
        <item x="338"/>
        <item x="609"/>
        <item x="317"/>
        <item x="887"/>
        <item x="678"/>
        <item x="501"/>
        <item x="194"/>
        <item x="556"/>
        <item x="438"/>
        <item x="125"/>
        <item x="539"/>
        <item x="559"/>
        <item x="241"/>
        <item x="188"/>
        <item x="293"/>
        <item x="624"/>
        <item x="760"/>
        <item x="662"/>
        <item x="738"/>
        <item x="24"/>
        <item x="415"/>
        <item x="802"/>
        <item x="202"/>
        <item x="573"/>
        <item x="929"/>
        <item x="232"/>
        <item x="921"/>
        <item x="154"/>
        <item x="229"/>
        <item x="326"/>
        <item x="98"/>
        <item x="457"/>
        <item x="542"/>
        <item x="504"/>
        <item x="525"/>
        <item x="42"/>
        <item x="462"/>
        <item x="80"/>
        <item x="182"/>
        <item x="648"/>
        <item x="195"/>
        <item x="933"/>
        <item x="375"/>
        <item x="718"/>
        <item x="78"/>
        <item x="842"/>
        <item x="311"/>
        <item x="520"/>
        <item x="236"/>
        <item x="743"/>
        <item x="152"/>
        <item x="475"/>
        <item x="677"/>
        <item x="73"/>
        <item x="483"/>
        <item x="927"/>
        <item x="10"/>
        <item x="19"/>
        <item x="586"/>
        <item x="52"/>
        <item x="595"/>
        <item x="916"/>
        <item x="583"/>
        <item x="148"/>
        <item x="192"/>
        <item x="673"/>
        <item x="568"/>
        <item x="278"/>
        <item x="66"/>
        <item x="370"/>
        <item x="282"/>
        <item x="404"/>
        <item x="13"/>
        <item x="58"/>
        <item x="896"/>
        <item x="437"/>
        <item x="638"/>
        <item x="49"/>
        <item x="769"/>
        <item x="275"/>
        <item x="343"/>
        <item x="56"/>
        <item x="306"/>
        <item x="352"/>
        <item x="292"/>
        <item x="163"/>
        <item x="537"/>
        <item x="332"/>
        <item x="63"/>
        <item x="440"/>
        <item x="26"/>
        <item x="72"/>
        <item x="400"/>
        <item x="426"/>
        <item x="526"/>
        <item x="607"/>
        <item x="713"/>
        <item x="381"/>
        <item x="284"/>
        <item x="425"/>
        <item x="514"/>
        <item x="550"/>
        <item x="781"/>
        <item x="269"/>
        <item x="11"/>
        <item x="759"/>
        <item x="654"/>
        <item x="818"/>
        <item x="357"/>
        <item x="403"/>
        <item x="421"/>
        <item x="240"/>
        <item x="935"/>
        <item x="221"/>
        <item x="51"/>
        <item x="755"/>
        <item x="101"/>
        <item x="288"/>
        <item x="859"/>
        <item x="287"/>
        <item x="406"/>
        <item x="647"/>
        <item x="527"/>
        <item x="247"/>
        <item x="290"/>
        <item x="210"/>
        <item x="328"/>
        <item x="29"/>
        <item x="396"/>
        <item x="838"/>
        <item x="47"/>
        <item x="665"/>
        <item x="129"/>
        <item x="627"/>
        <item x="574"/>
        <item x="230"/>
        <item x="830"/>
        <item x="367"/>
        <item x="855"/>
        <item x="846"/>
        <item x="397"/>
        <item x="837"/>
        <item x="778"/>
        <item x="580"/>
        <item x="186"/>
        <item x="639"/>
        <item x="417"/>
        <item x="185"/>
        <item x="690"/>
        <item x="378"/>
        <item x="756"/>
        <item x="925"/>
        <item x="439"/>
        <item x="554"/>
        <item x="459"/>
        <item x="540"/>
        <item x="234"/>
        <item x="35"/>
        <item x="642"/>
        <item x="831"/>
        <item x="904"/>
        <item x="850"/>
        <item x="88"/>
        <item x="106"/>
        <item x="214"/>
        <item x="164"/>
        <item x="233"/>
        <item x="657"/>
        <item x="300"/>
        <item x="858"/>
        <item x="408"/>
        <item x="785"/>
        <item x="389"/>
        <item x="121"/>
        <item x="908"/>
        <item x="427"/>
        <item x="771"/>
        <item x="911"/>
        <item x="920"/>
        <item x="167"/>
        <item x="25"/>
        <item x="276"/>
        <item x="464"/>
        <item x="589"/>
        <item x="813"/>
        <item x="373"/>
        <item x="557"/>
        <item x="834"/>
        <item x="289"/>
        <item x="198"/>
        <item x="177"/>
        <item x="899"/>
        <item x="16"/>
        <item x="364"/>
        <item x="15"/>
        <item x="9"/>
        <item x="686"/>
        <item x="14"/>
        <item x="490"/>
        <item x="100"/>
        <item x="730"/>
        <item x="200"/>
        <item t="default"/>
      </items>
    </pivotField>
    <pivotField axis="axisRow" showAll="0">
      <items count="6">
        <item x="3"/>
        <item x="1"/>
        <item x="2"/>
        <item x="0"/>
        <item h="1" x="4"/>
        <item t="default"/>
      </items>
    </pivotField>
  </pivotFields>
  <rowFields count="1">
    <field x="11"/>
  </rowFields>
  <rowItems count="5">
    <i>
      <x/>
    </i>
    <i>
      <x v="1"/>
    </i>
    <i>
      <x v="2"/>
    </i>
    <i>
      <x v="3"/>
    </i>
    <i t="grand">
      <x/>
    </i>
  </rowItems>
  <colItems count="1">
    <i/>
  </colItems>
  <dataFields count="1">
    <dataField name="Average of Engagement_Rate" fld="10" subtotal="average" baseField="11" baseItem="3" numFmtId="10"/>
  </dataFields>
  <chartFormats count="4">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95CC75E-ABB2-48DA-94DE-13AC96B82187}" sourceName="Category">
  <pivotTables>
    <pivotTable tabId="2" name="Market Analysis"/>
  </pivotTables>
  <data>
    <tabular pivotCacheId="1088764202">
      <items count="155">
        <i x="141"/>
        <i x="137"/>
        <i x="83"/>
        <i x="19" s="1"/>
        <i x="26" s="1"/>
        <i x="64" s="1"/>
        <i x="73" s="1"/>
        <i x="149" s="1"/>
        <i x="142" s="1"/>
        <i x="36" s="1"/>
        <i x="151"/>
        <i x="8"/>
        <i x="41"/>
        <i x="90"/>
        <i x="17"/>
        <i x="27"/>
        <i x="34"/>
        <i x="76"/>
        <i x="24"/>
        <i x="22"/>
        <i x="44"/>
        <i x="38"/>
        <i x="56"/>
        <i x="59"/>
        <i x="148"/>
        <i x="111"/>
        <i x="74"/>
        <i x="115"/>
        <i x="54"/>
        <i x="102"/>
        <i x="81"/>
        <i x="92"/>
        <i x="104"/>
        <i x="21"/>
        <i x="37"/>
        <i x="65"/>
        <i x="147"/>
        <i x="153"/>
        <i x="118"/>
        <i x="9"/>
        <i x="55"/>
        <i x="46"/>
        <i x="95"/>
        <i x="18"/>
        <i x="30"/>
        <i x="136"/>
        <i x="28"/>
        <i x="108"/>
        <i x="75"/>
        <i x="29"/>
        <i x="143"/>
        <i x="57"/>
        <i x="2"/>
        <i x="15"/>
        <i x="3"/>
        <i x="77"/>
        <i x="12"/>
        <i x="16"/>
        <i x="101"/>
        <i x="7"/>
        <i x="33"/>
        <i x="96"/>
        <i x="14"/>
        <i x="63"/>
        <i x="48"/>
        <i x="32"/>
        <i x="62"/>
        <i x="50"/>
        <i x="39"/>
        <i x="45"/>
        <i x="125"/>
        <i x="0"/>
        <i x="49"/>
        <i x="154"/>
        <i x="88" nd="1"/>
        <i x="20" nd="1"/>
        <i x="72" nd="1"/>
        <i x="13" nd="1"/>
        <i x="140" nd="1"/>
        <i x="116" nd="1"/>
        <i x="117" nd="1"/>
        <i x="107" s="1" nd="1"/>
        <i x="67" s="1" nd="1"/>
        <i x="98" s="1" nd="1"/>
        <i x="135" s="1" nd="1"/>
        <i x="94" nd="1"/>
        <i x="138" nd="1"/>
        <i x="93" nd="1"/>
        <i x="78" nd="1"/>
        <i x="106" nd="1"/>
        <i x="4" nd="1"/>
        <i x="85" nd="1"/>
        <i x="134" nd="1"/>
        <i x="133" nd="1"/>
        <i x="11" nd="1"/>
        <i x="40" nd="1"/>
        <i x="69" nd="1"/>
        <i x="60" nd="1"/>
        <i x="139" nd="1"/>
        <i x="103" nd="1"/>
        <i x="51" nd="1"/>
        <i x="123" nd="1"/>
        <i x="5" nd="1"/>
        <i x="113" nd="1"/>
        <i x="6" nd="1"/>
        <i x="82" nd="1"/>
        <i x="84" nd="1"/>
        <i x="35" nd="1"/>
        <i x="52" nd="1"/>
        <i x="42" nd="1"/>
        <i x="91" nd="1"/>
        <i x="131" nd="1"/>
        <i x="66" nd="1"/>
        <i x="144" nd="1"/>
        <i x="132" nd="1"/>
        <i x="146" nd="1"/>
        <i x="89" nd="1"/>
        <i x="121" nd="1"/>
        <i x="114" nd="1"/>
        <i x="23" nd="1"/>
        <i x="119" nd="1"/>
        <i x="47" nd="1"/>
        <i x="150" nd="1"/>
        <i x="152" nd="1"/>
        <i x="100" nd="1"/>
        <i x="99" nd="1"/>
        <i x="130" nd="1"/>
        <i x="31" nd="1"/>
        <i x="110" nd="1"/>
        <i x="25" nd="1"/>
        <i x="86" nd="1"/>
        <i x="127" nd="1"/>
        <i x="53" nd="1"/>
        <i x="70" nd="1"/>
        <i x="122" nd="1"/>
        <i x="71" nd="1"/>
        <i x="80" nd="1"/>
        <i x="79" nd="1"/>
        <i x="10" nd="1"/>
        <i x="112" nd="1"/>
        <i x="43" nd="1"/>
        <i x="109" nd="1"/>
        <i x="128" nd="1"/>
        <i x="58" nd="1"/>
        <i x="68" nd="1"/>
        <i x="105" nd="1"/>
        <i x="126" nd="1"/>
        <i x="120" nd="1"/>
        <i x="145" nd="1"/>
        <i x="97" nd="1"/>
        <i x="1" nd="1"/>
        <i x="124" nd="1"/>
        <i x="129" nd="1"/>
        <i x="87" nd="1"/>
        <i x="6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dience_Country" xr10:uid="{67755CB2-8A0E-4455-8FA8-51AF49CFF338}" sourceName="Audience Country">
  <pivotTables>
    <pivotTable tabId="2" name="Market Analysis"/>
  </pivotTables>
  <data>
    <tabular pivotCacheId="1088764202">
      <items count="34">
        <i x="3"/>
        <i x="8"/>
        <i x="0" s="1"/>
        <i x="4" s="1"/>
        <i x="9"/>
        <i x="6"/>
        <i x="16"/>
        <i x="7"/>
        <i x="2"/>
        <i x="32" nd="1"/>
        <i x="28" nd="1"/>
        <i x="1" nd="1"/>
        <i x="30" nd="1"/>
        <i x="13" nd="1"/>
        <i x="15" nd="1"/>
        <i x="10" nd="1"/>
        <i x="22" nd="1"/>
        <i x="14" nd="1"/>
        <i x="21" nd="1"/>
        <i x="27" nd="1"/>
        <i x="31" nd="1"/>
        <i x="24" nd="1"/>
        <i x="23" nd="1"/>
        <i x="33" nd="1"/>
        <i x="18" nd="1"/>
        <i x="29" nd="1"/>
        <i x="5" nd="1"/>
        <i x="12" nd="1"/>
        <i x="25" nd="1"/>
        <i x="19" nd="1"/>
        <i x="11" nd="1"/>
        <i x="26" nd="1"/>
        <i x="20" nd="1"/>
        <i x="1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7AF2140-D568-4CBE-BF4B-89817C1C2A97}" cache="Slicer_Category" caption="Category" style="SlicerStyleLight6" rowHeight="241300"/>
  <slicer name="Audience Country" xr10:uid="{B0BE4833-9E13-496D-B222-E5299C213F65}" cache="Slicer_Audience_Country" caption="Audience Country"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9D4AC-B68E-4BCE-B7C2-BB0D220E14E1}">
  <sheetPr codeName="Sheet1" filterMode="1"/>
  <dimension ref="A1:L999"/>
  <sheetViews>
    <sheetView workbookViewId="0">
      <selection activeCell="C11" sqref="C11"/>
    </sheetView>
  </sheetViews>
  <sheetFormatPr defaultRowHeight="14.5" x14ac:dyDescent="0.35"/>
  <cols>
    <col min="1" max="1" width="26.36328125" style="1" bestFit="1" customWidth="1"/>
    <col min="2" max="2" width="7.1796875" bestFit="1" customWidth="1"/>
    <col min="3" max="3" width="54.453125" bestFit="1" customWidth="1"/>
    <col min="4" max="4" width="11.08984375" bestFit="1" customWidth="1"/>
    <col min="5" max="5" width="18.7265625" bestFit="1" customWidth="1"/>
    <col min="6" max="6" width="22" bestFit="1" customWidth="1"/>
    <col min="7" max="7" width="17.453125" bestFit="1" customWidth="1"/>
    <col min="8" max="8" width="13.08984375" bestFit="1" customWidth="1"/>
    <col min="9" max="9" width="13.90625" bestFit="1" customWidth="1"/>
    <col min="10" max="10" width="12.90625" bestFit="1" customWidth="1"/>
    <col min="11" max="11" width="15.90625" style="2" bestFit="1" customWidth="1"/>
    <col min="12" max="12" width="17.90625" bestFit="1" customWidth="1"/>
  </cols>
  <sheetData>
    <row r="1" spans="1:12" x14ac:dyDescent="0.35">
      <c r="A1" s="1" t="s">
        <v>0</v>
      </c>
      <c r="B1" t="s">
        <v>1</v>
      </c>
      <c r="C1" t="s">
        <v>2</v>
      </c>
      <c r="D1" t="s">
        <v>3</v>
      </c>
      <c r="E1" t="s">
        <v>4</v>
      </c>
      <c r="F1" t="s">
        <v>5</v>
      </c>
      <c r="G1" t="s">
        <v>6</v>
      </c>
      <c r="H1" t="s">
        <v>3013</v>
      </c>
      <c r="I1" t="s">
        <v>3014</v>
      </c>
      <c r="J1" t="s">
        <v>3015</v>
      </c>
      <c r="K1" s="2" t="s">
        <v>3016</v>
      </c>
      <c r="L1" t="s">
        <v>3022</v>
      </c>
    </row>
    <row r="2" spans="1:12" x14ac:dyDescent="0.35">
      <c r="A2" s="1" t="s">
        <v>7</v>
      </c>
      <c r="B2">
        <v>1</v>
      </c>
      <c r="C2" t="s">
        <v>8</v>
      </c>
      <c r="D2" t="s">
        <v>9</v>
      </c>
      <c r="E2" t="s">
        <v>10</v>
      </c>
      <c r="F2" t="s">
        <v>11</v>
      </c>
      <c r="G2" t="s">
        <v>12</v>
      </c>
      <c r="H2">
        <f>IF(RIGHT(D2,1)="M", VALUE(SUBSTITUTE(D2,"M",""))*1000000, VALUE(SUBSTITUTE(D2,"K",""))*1000)</f>
        <v>462900000</v>
      </c>
      <c r="I2">
        <f>IF(RIGHT(F2,1)="M", VALUE(SUBSTITUTE(F2,"M",""))*1000000, VALUE(SUBSTITUTE(F2,"K",""))*1000)</f>
        <v>5500000</v>
      </c>
      <c r="J2">
        <f>IF(RIGHT(G2,1)="M", VALUE(SUBSTITUTE(G2,"M",""))*1000000, VALUE(SUBSTITUTE(G2,"K",""))*1000)</f>
        <v>6600000</v>
      </c>
      <c r="K2" s="2">
        <f>I2/H2</f>
        <v>1.1881615899762367E-2</v>
      </c>
      <c r="L2" t="str">
        <f>IF(H2&lt;10000000,"Tier 1",
 IF(H2&lt;50000000,"Tier 2",
 IF(H2&lt;100000000,"Tier 3",
 "Tier 4")))</f>
        <v>Tier 4</v>
      </c>
    </row>
    <row r="3" spans="1:12" x14ac:dyDescent="0.35">
      <c r="A3" s="1" t="s">
        <v>13</v>
      </c>
      <c r="B3">
        <v>2</v>
      </c>
      <c r="C3" t="s">
        <v>14</v>
      </c>
      <c r="D3" t="s">
        <v>15</v>
      </c>
      <c r="E3" t="s">
        <v>16</v>
      </c>
      <c r="F3" t="s">
        <v>17</v>
      </c>
      <c r="G3" t="s">
        <v>18</v>
      </c>
      <c r="H3">
        <f t="shared" ref="H3:H66" si="0">IF(RIGHT(D3,1)="M", VALUE(SUBSTITUTE(D3,"M",""))*1000000, VALUE(SUBSTITUTE(D3,"K",""))*1000)</f>
        <v>347200000</v>
      </c>
      <c r="I3">
        <f t="shared" ref="I3:I66" si="1">IF(RIGHT(F3,1)="M", VALUE(SUBSTITUTE(F3,"M",""))*1000000, VALUE(SUBSTITUTE(F3,"K",""))*1000)</f>
        <v>3600000</v>
      </c>
      <c r="J3">
        <f t="shared" ref="J3:J66" si="2">IF(RIGHT(G3,1)="M", VALUE(SUBSTITUTE(G3,"M",""))*1000000, VALUE(SUBSTITUTE(G3,"K",""))*1000)</f>
        <v>4800000</v>
      </c>
      <c r="K3" s="2">
        <f t="shared" ref="K3:K66" si="3">I3/H3</f>
        <v>1.0368663594470046E-2</v>
      </c>
      <c r="L3" t="str">
        <f t="shared" ref="L3:L66" si="4">IF(H3&lt;10000000,"Tier 1",
 IF(H3&lt;50000000,"Tier 2",
 IF(H3&lt;100000000,"Tier 3",
 "Tier 4")))</f>
        <v>Tier 4</v>
      </c>
    </row>
    <row r="4" spans="1:12" x14ac:dyDescent="0.35">
      <c r="A4" s="1" t="s">
        <v>19</v>
      </c>
      <c r="B4">
        <v>3</v>
      </c>
      <c r="C4" t="s">
        <v>20</v>
      </c>
      <c r="D4" t="s">
        <v>21</v>
      </c>
      <c r="E4" t="s">
        <v>22</v>
      </c>
      <c r="F4" t="s">
        <v>23</v>
      </c>
      <c r="G4" t="s">
        <v>24</v>
      </c>
      <c r="H4">
        <f t="shared" si="0"/>
        <v>247600000</v>
      </c>
      <c r="I4">
        <f t="shared" si="1"/>
        <v>3000000</v>
      </c>
      <c r="J4">
        <f t="shared" si="2"/>
        <v>4900000</v>
      </c>
      <c r="K4" s="2">
        <f t="shared" si="3"/>
        <v>1.2116316639741519E-2</v>
      </c>
      <c r="L4" t="str">
        <f t="shared" si="4"/>
        <v>Tier 4</v>
      </c>
    </row>
    <row r="5" spans="1:12" x14ac:dyDescent="0.35">
      <c r="A5" s="1" t="s">
        <v>25</v>
      </c>
      <c r="B5">
        <v>4</v>
      </c>
      <c r="C5" t="s">
        <v>26</v>
      </c>
      <c r="D5" t="s">
        <v>27</v>
      </c>
      <c r="E5" t="s">
        <v>22</v>
      </c>
      <c r="F5" t="s">
        <v>28</v>
      </c>
      <c r="G5" t="s">
        <v>29</v>
      </c>
      <c r="H5">
        <f t="shared" si="0"/>
        <v>321400000</v>
      </c>
      <c r="I5">
        <f t="shared" si="1"/>
        <v>2400000</v>
      </c>
      <c r="J5">
        <f t="shared" si="2"/>
        <v>3400000</v>
      </c>
      <c r="K5" s="2">
        <f t="shared" si="3"/>
        <v>7.4673304293714996E-3</v>
      </c>
      <c r="L5" t="str">
        <f t="shared" si="4"/>
        <v>Tier 4</v>
      </c>
    </row>
    <row r="6" spans="1:12" x14ac:dyDescent="0.35">
      <c r="A6" s="1" t="s">
        <v>30</v>
      </c>
      <c r="B6">
        <v>5</v>
      </c>
      <c r="C6" t="s">
        <v>31</v>
      </c>
      <c r="D6" t="s">
        <v>32</v>
      </c>
      <c r="E6" t="s">
        <v>22</v>
      </c>
      <c r="F6" t="s">
        <v>33</v>
      </c>
      <c r="G6" t="s">
        <v>34</v>
      </c>
      <c r="H6">
        <f t="shared" si="0"/>
        <v>147000000</v>
      </c>
      <c r="I6">
        <f t="shared" si="1"/>
        <v>4300000</v>
      </c>
      <c r="J6">
        <f t="shared" si="2"/>
        <v>5800000</v>
      </c>
      <c r="K6" s="2">
        <f t="shared" si="3"/>
        <v>2.9251700680272108E-2</v>
      </c>
      <c r="L6" t="str">
        <f t="shared" si="4"/>
        <v>Tier 4</v>
      </c>
    </row>
    <row r="7" spans="1:12" x14ac:dyDescent="0.35">
      <c r="A7" s="1" t="s">
        <v>35</v>
      </c>
      <c r="B7">
        <v>6</v>
      </c>
      <c r="C7" t="s">
        <v>36</v>
      </c>
      <c r="D7" t="s">
        <v>37</v>
      </c>
      <c r="E7" t="s">
        <v>22</v>
      </c>
      <c r="F7" t="s">
        <v>38</v>
      </c>
      <c r="G7" t="s">
        <v>39</v>
      </c>
      <c r="H7">
        <f t="shared" si="0"/>
        <v>323600000</v>
      </c>
      <c r="I7">
        <f t="shared" si="1"/>
        <v>1700000</v>
      </c>
      <c r="J7">
        <f t="shared" si="2"/>
        <v>2500000</v>
      </c>
      <c r="K7" s="2">
        <f t="shared" si="3"/>
        <v>5.2533992583436344E-3</v>
      </c>
      <c r="L7" t="str">
        <f t="shared" si="4"/>
        <v>Tier 4</v>
      </c>
    </row>
    <row r="8" spans="1:12" x14ac:dyDescent="0.35">
      <c r="A8" s="1" t="s">
        <v>40</v>
      </c>
      <c r="B8">
        <v>7</v>
      </c>
      <c r="C8" t="s">
        <v>26</v>
      </c>
      <c r="D8" t="s">
        <v>41</v>
      </c>
      <c r="E8" t="s">
        <v>42</v>
      </c>
      <c r="F8" t="s">
        <v>28</v>
      </c>
      <c r="G8" t="s">
        <v>43</v>
      </c>
      <c r="H8">
        <f t="shared" si="0"/>
        <v>218200000</v>
      </c>
      <c r="I8">
        <f t="shared" si="1"/>
        <v>2400000</v>
      </c>
      <c r="J8">
        <f t="shared" si="2"/>
        <v>3200000</v>
      </c>
      <c r="K8" s="2">
        <f t="shared" si="3"/>
        <v>1.0999083409715857E-2</v>
      </c>
      <c r="L8" t="str">
        <f t="shared" si="4"/>
        <v>Tier 4</v>
      </c>
    </row>
    <row r="9" spans="1:12" x14ac:dyDescent="0.35">
      <c r="A9" s="1" t="s">
        <v>44</v>
      </c>
      <c r="B9">
        <v>8</v>
      </c>
      <c r="C9" t="s">
        <v>45</v>
      </c>
      <c r="D9" t="s">
        <v>46</v>
      </c>
      <c r="E9" t="s">
        <v>22</v>
      </c>
      <c r="F9" t="s">
        <v>47</v>
      </c>
      <c r="G9" t="s">
        <v>48</v>
      </c>
      <c r="H9">
        <f t="shared" si="0"/>
        <v>357000000</v>
      </c>
      <c r="I9">
        <f t="shared" si="1"/>
        <v>1200000</v>
      </c>
      <c r="J9">
        <f t="shared" si="2"/>
        <v>1900000</v>
      </c>
      <c r="K9" s="2">
        <f t="shared" si="3"/>
        <v>3.3613445378151263E-3</v>
      </c>
      <c r="L9" t="str">
        <f t="shared" si="4"/>
        <v>Tier 4</v>
      </c>
    </row>
    <row r="10" spans="1:12" x14ac:dyDescent="0.35">
      <c r="A10" s="1" t="s">
        <v>49</v>
      </c>
      <c r="B10">
        <v>9</v>
      </c>
      <c r="C10" t="s">
        <v>50</v>
      </c>
      <c r="D10" t="s">
        <v>51</v>
      </c>
      <c r="E10" t="s">
        <v>22</v>
      </c>
      <c r="F10" t="s">
        <v>52</v>
      </c>
      <c r="G10" t="s">
        <v>48</v>
      </c>
      <c r="H10">
        <f t="shared" si="0"/>
        <v>334900000</v>
      </c>
      <c r="I10">
        <f t="shared" si="1"/>
        <v>1400000</v>
      </c>
      <c r="J10">
        <f t="shared" si="2"/>
        <v>1900000</v>
      </c>
      <c r="K10" s="2">
        <f t="shared" si="3"/>
        <v>4.1803523439832785E-3</v>
      </c>
      <c r="L10" t="str">
        <f t="shared" si="4"/>
        <v>Tier 4</v>
      </c>
    </row>
    <row r="11" spans="1:12" x14ac:dyDescent="0.35">
      <c r="A11" s="1" t="s">
        <v>53</v>
      </c>
      <c r="B11">
        <v>10</v>
      </c>
      <c r="C11" t="s">
        <v>26</v>
      </c>
      <c r="D11" t="s">
        <v>54</v>
      </c>
      <c r="E11" t="s">
        <v>22</v>
      </c>
      <c r="F11" t="s">
        <v>55</v>
      </c>
      <c r="G11" t="s">
        <v>55</v>
      </c>
      <c r="H11">
        <f t="shared" si="0"/>
        <v>46300000</v>
      </c>
      <c r="I11">
        <f t="shared" si="1"/>
        <v>13300000</v>
      </c>
      <c r="J11">
        <f t="shared" si="2"/>
        <v>13300000</v>
      </c>
      <c r="K11" s="2">
        <f t="shared" si="3"/>
        <v>0.28725701943844495</v>
      </c>
      <c r="L11" t="str">
        <f t="shared" si="4"/>
        <v>Tier 2</v>
      </c>
    </row>
    <row r="12" spans="1:12" x14ac:dyDescent="0.35">
      <c r="A12" s="1" t="s">
        <v>56</v>
      </c>
      <c r="B12">
        <v>11</v>
      </c>
      <c r="C12" t="s">
        <v>26</v>
      </c>
      <c r="D12" t="s">
        <v>57</v>
      </c>
      <c r="E12" t="s">
        <v>58</v>
      </c>
      <c r="F12" t="s">
        <v>59</v>
      </c>
      <c r="G12" t="s">
        <v>60</v>
      </c>
      <c r="H12">
        <f t="shared" si="0"/>
        <v>79900000</v>
      </c>
      <c r="I12">
        <f t="shared" si="1"/>
        <v>6300000</v>
      </c>
      <c r="J12">
        <f t="shared" si="2"/>
        <v>7300000</v>
      </c>
      <c r="K12" s="2">
        <f t="shared" si="3"/>
        <v>7.8848560700876091E-2</v>
      </c>
      <c r="L12" t="str">
        <f t="shared" si="4"/>
        <v>Tier 3</v>
      </c>
    </row>
    <row r="13" spans="1:12" x14ac:dyDescent="0.35">
      <c r="A13" s="1" t="s">
        <v>61</v>
      </c>
      <c r="B13">
        <v>12</v>
      </c>
      <c r="C13" t="s">
        <v>26</v>
      </c>
      <c r="D13" t="s">
        <v>62</v>
      </c>
      <c r="E13" t="s">
        <v>58</v>
      </c>
      <c r="F13" t="s">
        <v>63</v>
      </c>
      <c r="G13" t="s">
        <v>64</v>
      </c>
      <c r="H13">
        <f t="shared" si="0"/>
        <v>68200000</v>
      </c>
      <c r="I13">
        <f t="shared" si="1"/>
        <v>7000000</v>
      </c>
      <c r="J13">
        <f t="shared" si="2"/>
        <v>8300000.0000000009</v>
      </c>
      <c r="K13" s="2">
        <f t="shared" si="3"/>
        <v>0.10263929618768329</v>
      </c>
      <c r="L13" t="str">
        <f t="shared" si="4"/>
        <v>Tier 3</v>
      </c>
    </row>
    <row r="14" spans="1:12" x14ac:dyDescent="0.35">
      <c r="A14" s="1" t="s">
        <v>65</v>
      </c>
      <c r="B14">
        <v>13</v>
      </c>
      <c r="C14" t="s">
        <v>8</v>
      </c>
      <c r="D14" t="s">
        <v>66</v>
      </c>
      <c r="E14" t="s">
        <v>10</v>
      </c>
      <c r="F14" t="s">
        <v>67</v>
      </c>
      <c r="G14" t="s">
        <v>28</v>
      </c>
      <c r="H14">
        <f t="shared" si="0"/>
        <v>206900000</v>
      </c>
      <c r="I14">
        <f t="shared" si="1"/>
        <v>2100000</v>
      </c>
      <c r="J14">
        <f t="shared" si="2"/>
        <v>2400000</v>
      </c>
      <c r="K14" s="2">
        <f t="shared" si="3"/>
        <v>1.0149830836152731E-2</v>
      </c>
      <c r="L14" t="str">
        <f t="shared" si="4"/>
        <v>Tier 4</v>
      </c>
    </row>
    <row r="15" spans="1:12" x14ac:dyDescent="0.35">
      <c r="A15" s="1" t="s">
        <v>68</v>
      </c>
      <c r="B15">
        <v>14</v>
      </c>
      <c r="C15" t="s">
        <v>69</v>
      </c>
      <c r="D15" t="s">
        <v>70</v>
      </c>
      <c r="E15" t="s">
        <v>22</v>
      </c>
      <c r="F15" t="s">
        <v>71</v>
      </c>
      <c r="G15" t="s">
        <v>63</v>
      </c>
      <c r="H15">
        <f t="shared" si="0"/>
        <v>67600000</v>
      </c>
      <c r="I15">
        <f t="shared" si="1"/>
        <v>5700000</v>
      </c>
      <c r="J15">
        <f t="shared" si="2"/>
        <v>7000000</v>
      </c>
      <c r="K15" s="2">
        <f t="shared" si="3"/>
        <v>8.4319526627218935E-2</v>
      </c>
      <c r="L15" t="str">
        <f t="shared" si="4"/>
        <v>Tier 3</v>
      </c>
    </row>
    <row r="16" spans="1:12" x14ac:dyDescent="0.35">
      <c r="A16" s="1" t="s">
        <v>72</v>
      </c>
      <c r="B16">
        <v>15</v>
      </c>
      <c r="C16" t="s">
        <v>26</v>
      </c>
      <c r="D16" t="s">
        <v>73</v>
      </c>
      <c r="E16" t="s">
        <v>58</v>
      </c>
      <c r="F16" t="s">
        <v>74</v>
      </c>
      <c r="G16" t="s">
        <v>74</v>
      </c>
      <c r="H16">
        <f t="shared" si="0"/>
        <v>38100000</v>
      </c>
      <c r="I16">
        <f t="shared" si="1"/>
        <v>11800000</v>
      </c>
      <c r="J16">
        <f t="shared" si="2"/>
        <v>11800000</v>
      </c>
      <c r="K16" s="2">
        <f t="shared" si="3"/>
        <v>0.30971128608923887</v>
      </c>
      <c r="L16" t="str">
        <f t="shared" si="4"/>
        <v>Tier 2</v>
      </c>
    </row>
    <row r="17" spans="1:12" x14ac:dyDescent="0.35">
      <c r="A17" s="1" t="s">
        <v>75</v>
      </c>
      <c r="B17">
        <v>16</v>
      </c>
      <c r="C17" t="s">
        <v>76</v>
      </c>
      <c r="D17" t="s">
        <v>77</v>
      </c>
      <c r="E17" t="s">
        <v>58</v>
      </c>
      <c r="F17" t="s">
        <v>78</v>
      </c>
      <c r="G17" t="s">
        <v>78</v>
      </c>
      <c r="H17">
        <f t="shared" si="0"/>
        <v>36500000</v>
      </c>
      <c r="I17">
        <f t="shared" si="1"/>
        <v>10400000</v>
      </c>
      <c r="J17">
        <f t="shared" si="2"/>
        <v>10400000</v>
      </c>
      <c r="K17" s="2">
        <f t="shared" si="3"/>
        <v>0.28493150684931506</v>
      </c>
      <c r="L17" t="str">
        <f t="shared" si="4"/>
        <v>Tier 2</v>
      </c>
    </row>
    <row r="18" spans="1:12" x14ac:dyDescent="0.35">
      <c r="A18" s="1" t="s">
        <v>79</v>
      </c>
      <c r="B18">
        <v>17</v>
      </c>
      <c r="C18" t="s">
        <v>26</v>
      </c>
      <c r="D18" t="s">
        <v>80</v>
      </c>
      <c r="E18" t="s">
        <v>22</v>
      </c>
      <c r="F18" t="s">
        <v>81</v>
      </c>
      <c r="G18" t="s">
        <v>81</v>
      </c>
      <c r="H18">
        <f t="shared" si="0"/>
        <v>37400000</v>
      </c>
      <c r="I18">
        <f t="shared" si="1"/>
        <v>9900000</v>
      </c>
      <c r="J18">
        <f t="shared" si="2"/>
        <v>9900000</v>
      </c>
      <c r="K18" s="2">
        <f t="shared" si="3"/>
        <v>0.26470588235294118</v>
      </c>
      <c r="L18" t="str">
        <f t="shared" si="4"/>
        <v>Tier 2</v>
      </c>
    </row>
    <row r="19" spans="1:12" x14ac:dyDescent="0.35">
      <c r="A19" s="1" t="s">
        <v>82</v>
      </c>
      <c r="B19">
        <v>18</v>
      </c>
      <c r="C19" t="s">
        <v>83</v>
      </c>
      <c r="D19" t="s">
        <v>84</v>
      </c>
      <c r="E19" t="s">
        <v>22</v>
      </c>
      <c r="F19" t="s">
        <v>85</v>
      </c>
      <c r="G19" t="s">
        <v>86</v>
      </c>
      <c r="H19">
        <f t="shared" si="0"/>
        <v>267399999.99999997</v>
      </c>
      <c r="I19">
        <f t="shared" si="1"/>
        <v>949900</v>
      </c>
      <c r="J19">
        <f t="shared" si="2"/>
        <v>1300000</v>
      </c>
      <c r="K19" s="2">
        <f t="shared" si="3"/>
        <v>3.5523560209424088E-3</v>
      </c>
      <c r="L19" t="str">
        <f t="shared" si="4"/>
        <v>Tier 4</v>
      </c>
    </row>
    <row r="20" spans="1:12" x14ac:dyDescent="0.35">
      <c r="A20" s="1" t="s">
        <v>87</v>
      </c>
      <c r="B20">
        <v>19</v>
      </c>
      <c r="C20" t="s">
        <v>88</v>
      </c>
      <c r="D20" t="s">
        <v>89</v>
      </c>
      <c r="E20" t="s">
        <v>22</v>
      </c>
      <c r="F20" t="s">
        <v>90</v>
      </c>
      <c r="G20" t="s">
        <v>52</v>
      </c>
      <c r="H20">
        <f t="shared" si="0"/>
        <v>260399999.99999997</v>
      </c>
      <c r="I20">
        <f t="shared" si="1"/>
        <v>1100000</v>
      </c>
      <c r="J20">
        <f t="shared" si="2"/>
        <v>1400000</v>
      </c>
      <c r="K20" s="2">
        <f t="shared" si="3"/>
        <v>4.2242703533026116E-3</v>
      </c>
      <c r="L20" t="str">
        <f t="shared" si="4"/>
        <v>Tier 4</v>
      </c>
    </row>
    <row r="21" spans="1:12" x14ac:dyDescent="0.35">
      <c r="A21" s="1" t="s">
        <v>91</v>
      </c>
      <c r="B21">
        <v>20</v>
      </c>
      <c r="C21" t="s">
        <v>92</v>
      </c>
      <c r="D21" t="s">
        <v>93</v>
      </c>
      <c r="E21" t="s">
        <v>58</v>
      </c>
      <c r="F21" t="s">
        <v>24</v>
      </c>
      <c r="G21" t="s">
        <v>94</v>
      </c>
      <c r="H21">
        <f t="shared" si="0"/>
        <v>62100000</v>
      </c>
      <c r="I21">
        <f t="shared" si="1"/>
        <v>4900000</v>
      </c>
      <c r="J21">
        <f t="shared" si="2"/>
        <v>5600000</v>
      </c>
      <c r="K21" s="2">
        <f t="shared" si="3"/>
        <v>7.8904991948470213E-2</v>
      </c>
      <c r="L21" t="str">
        <f t="shared" si="4"/>
        <v>Tier 3</v>
      </c>
    </row>
    <row r="22" spans="1:12" x14ac:dyDescent="0.35">
      <c r="A22" s="1" t="s">
        <v>95</v>
      </c>
      <c r="B22">
        <v>21</v>
      </c>
      <c r="C22" t="s">
        <v>26</v>
      </c>
      <c r="D22" t="s">
        <v>96</v>
      </c>
      <c r="E22" t="s">
        <v>22</v>
      </c>
      <c r="F22" t="s">
        <v>28</v>
      </c>
      <c r="G22" t="s">
        <v>97</v>
      </c>
      <c r="H22">
        <f t="shared" si="0"/>
        <v>104300000</v>
      </c>
      <c r="I22">
        <f t="shared" si="1"/>
        <v>2400000</v>
      </c>
      <c r="J22">
        <f t="shared" si="2"/>
        <v>3100000</v>
      </c>
      <c r="K22" s="2">
        <f t="shared" si="3"/>
        <v>2.3010546500479387E-2</v>
      </c>
      <c r="L22" t="str">
        <f t="shared" si="4"/>
        <v>Tier 4</v>
      </c>
    </row>
    <row r="23" spans="1:12" x14ac:dyDescent="0.35">
      <c r="A23" s="1" t="s">
        <v>98</v>
      </c>
      <c r="B23">
        <v>22</v>
      </c>
      <c r="C23" t="s">
        <v>8</v>
      </c>
      <c r="D23" t="s">
        <v>99</v>
      </c>
      <c r="E23" t="s">
        <v>42</v>
      </c>
      <c r="F23" t="s">
        <v>86</v>
      </c>
      <c r="G23" t="s">
        <v>100</v>
      </c>
      <c r="H23">
        <f t="shared" si="0"/>
        <v>176200000</v>
      </c>
      <c r="I23">
        <f t="shared" si="1"/>
        <v>1300000</v>
      </c>
      <c r="J23">
        <f t="shared" si="2"/>
        <v>1800000</v>
      </c>
      <c r="K23" s="2">
        <f t="shared" si="3"/>
        <v>7.3779795686719635E-3</v>
      </c>
      <c r="L23" t="str">
        <f t="shared" si="4"/>
        <v>Tier 4</v>
      </c>
    </row>
    <row r="24" spans="1:12" x14ac:dyDescent="0.35">
      <c r="A24" s="1" t="s">
        <v>101</v>
      </c>
      <c r="B24">
        <v>23</v>
      </c>
      <c r="C24" t="s">
        <v>8</v>
      </c>
      <c r="D24" t="s">
        <v>102</v>
      </c>
      <c r="E24" t="s">
        <v>10</v>
      </c>
      <c r="F24" t="s">
        <v>103</v>
      </c>
      <c r="G24" t="s">
        <v>104</v>
      </c>
      <c r="H24">
        <f t="shared" si="0"/>
        <v>78600000</v>
      </c>
      <c r="I24">
        <f t="shared" si="1"/>
        <v>2800000</v>
      </c>
      <c r="J24">
        <f t="shared" si="2"/>
        <v>3900000</v>
      </c>
      <c r="K24" s="2">
        <f t="shared" si="3"/>
        <v>3.5623409669211195E-2</v>
      </c>
      <c r="L24" t="str">
        <f t="shared" si="4"/>
        <v>Tier 3</v>
      </c>
    </row>
    <row r="25" spans="1:12" x14ac:dyDescent="0.35">
      <c r="A25" s="1" t="s">
        <v>105</v>
      </c>
      <c r="B25">
        <v>24</v>
      </c>
      <c r="C25" t="s">
        <v>26</v>
      </c>
      <c r="D25" t="s">
        <v>106</v>
      </c>
      <c r="E25" t="s">
        <v>10</v>
      </c>
      <c r="F25" t="s">
        <v>107</v>
      </c>
      <c r="G25" t="s">
        <v>47</v>
      </c>
      <c r="H25">
        <f t="shared" si="0"/>
        <v>245900000</v>
      </c>
      <c r="I25">
        <f t="shared" si="1"/>
        <v>798500</v>
      </c>
      <c r="J25">
        <f t="shared" si="2"/>
        <v>1200000</v>
      </c>
      <c r="K25" s="2">
        <f t="shared" si="3"/>
        <v>3.2472549816998778E-3</v>
      </c>
      <c r="L25" t="str">
        <f t="shared" si="4"/>
        <v>Tier 4</v>
      </c>
    </row>
    <row r="26" spans="1:12" x14ac:dyDescent="0.35">
      <c r="A26" s="1" t="s">
        <v>108</v>
      </c>
      <c r="B26">
        <v>25</v>
      </c>
      <c r="C26" t="s">
        <v>26</v>
      </c>
      <c r="D26" t="s">
        <v>109</v>
      </c>
      <c r="E26" t="s">
        <v>58</v>
      </c>
      <c r="F26" t="s">
        <v>110</v>
      </c>
      <c r="G26" t="s">
        <v>111</v>
      </c>
      <c r="H26">
        <f t="shared" si="0"/>
        <v>61000000</v>
      </c>
      <c r="I26">
        <f t="shared" si="1"/>
        <v>4000000</v>
      </c>
      <c r="J26">
        <f t="shared" si="2"/>
        <v>4600000</v>
      </c>
      <c r="K26" s="2">
        <f t="shared" si="3"/>
        <v>6.5573770491803282E-2</v>
      </c>
      <c r="L26" t="str">
        <f t="shared" si="4"/>
        <v>Tier 3</v>
      </c>
    </row>
    <row r="27" spans="1:12" x14ac:dyDescent="0.35">
      <c r="A27" s="1" t="s">
        <v>112</v>
      </c>
      <c r="B27">
        <v>26</v>
      </c>
      <c r="C27" t="s">
        <v>113</v>
      </c>
      <c r="D27" t="s">
        <v>80</v>
      </c>
      <c r="E27" t="s">
        <v>114</v>
      </c>
      <c r="F27" t="s">
        <v>115</v>
      </c>
      <c r="G27" t="s">
        <v>115</v>
      </c>
      <c r="H27">
        <f t="shared" si="0"/>
        <v>37400000</v>
      </c>
      <c r="I27">
        <f t="shared" si="1"/>
        <v>6900000</v>
      </c>
      <c r="J27">
        <f t="shared" si="2"/>
        <v>6900000</v>
      </c>
      <c r="K27" s="2">
        <f t="shared" si="3"/>
        <v>0.18449197860962566</v>
      </c>
      <c r="L27" t="str">
        <f t="shared" si="4"/>
        <v>Tier 2</v>
      </c>
    </row>
    <row r="28" spans="1:12" x14ac:dyDescent="0.35">
      <c r="A28" s="1" t="s">
        <v>116</v>
      </c>
      <c r="B28">
        <v>27</v>
      </c>
      <c r="C28" t="s">
        <v>26</v>
      </c>
      <c r="D28" t="s">
        <v>117</v>
      </c>
      <c r="E28" t="s">
        <v>22</v>
      </c>
      <c r="F28" t="s">
        <v>104</v>
      </c>
      <c r="G28" t="s">
        <v>118</v>
      </c>
      <c r="H28">
        <f t="shared" si="0"/>
        <v>41400000</v>
      </c>
      <c r="I28">
        <f t="shared" si="1"/>
        <v>3900000</v>
      </c>
      <c r="J28">
        <f t="shared" si="2"/>
        <v>6000000</v>
      </c>
      <c r="K28" s="2">
        <f t="shared" si="3"/>
        <v>9.420289855072464E-2</v>
      </c>
      <c r="L28" t="str">
        <f t="shared" si="4"/>
        <v>Tier 2</v>
      </c>
    </row>
    <row r="29" spans="1:12" x14ac:dyDescent="0.35">
      <c r="A29" s="1" t="s">
        <v>119</v>
      </c>
      <c r="B29">
        <v>28</v>
      </c>
      <c r="C29" t="s">
        <v>26</v>
      </c>
      <c r="D29" t="s">
        <v>120</v>
      </c>
      <c r="E29" t="s">
        <v>22</v>
      </c>
      <c r="F29" t="s">
        <v>121</v>
      </c>
      <c r="G29" t="s">
        <v>47</v>
      </c>
      <c r="H29">
        <f t="shared" si="0"/>
        <v>197800000</v>
      </c>
      <c r="I29">
        <f t="shared" si="1"/>
        <v>744200</v>
      </c>
      <c r="J29">
        <f t="shared" si="2"/>
        <v>1200000</v>
      </c>
      <c r="K29" s="2">
        <f t="shared" si="3"/>
        <v>3.7623862487360972E-3</v>
      </c>
      <c r="L29" t="str">
        <f t="shared" si="4"/>
        <v>Tier 4</v>
      </c>
    </row>
    <row r="30" spans="1:12" x14ac:dyDescent="0.35">
      <c r="A30" s="1" t="s">
        <v>122</v>
      </c>
      <c r="B30">
        <v>29</v>
      </c>
      <c r="C30" t="s">
        <v>123</v>
      </c>
      <c r="D30" t="s">
        <v>124</v>
      </c>
      <c r="E30" t="s">
        <v>10</v>
      </c>
      <c r="F30" t="s">
        <v>125</v>
      </c>
      <c r="G30" t="s">
        <v>126</v>
      </c>
      <c r="H30">
        <f t="shared" si="0"/>
        <v>528400000</v>
      </c>
      <c r="I30">
        <f t="shared" si="1"/>
        <v>339600</v>
      </c>
      <c r="J30">
        <f t="shared" si="2"/>
        <v>434300</v>
      </c>
      <c r="K30" s="2">
        <f t="shared" si="3"/>
        <v>6.4269492808478423E-4</v>
      </c>
      <c r="L30" t="str">
        <f t="shared" si="4"/>
        <v>Tier 4</v>
      </c>
    </row>
    <row r="31" spans="1:12" x14ac:dyDescent="0.35">
      <c r="A31" s="1" t="s">
        <v>127</v>
      </c>
      <c r="B31">
        <v>30</v>
      </c>
      <c r="C31" t="s">
        <v>26</v>
      </c>
      <c r="D31" t="s">
        <v>128</v>
      </c>
      <c r="E31" t="s">
        <v>58</v>
      </c>
      <c r="F31" t="s">
        <v>129</v>
      </c>
      <c r="G31" t="s">
        <v>129</v>
      </c>
      <c r="H31">
        <f t="shared" si="0"/>
        <v>43000000</v>
      </c>
      <c r="I31">
        <f t="shared" si="1"/>
        <v>5200000</v>
      </c>
      <c r="J31">
        <f t="shared" si="2"/>
        <v>5200000</v>
      </c>
      <c r="K31" s="2">
        <f t="shared" si="3"/>
        <v>0.12093023255813953</v>
      </c>
      <c r="L31" t="str">
        <f t="shared" si="4"/>
        <v>Tier 2</v>
      </c>
    </row>
    <row r="32" spans="1:12" x14ac:dyDescent="0.35">
      <c r="A32" s="1" t="s">
        <v>130</v>
      </c>
      <c r="B32">
        <v>31</v>
      </c>
      <c r="C32" t="s">
        <v>26</v>
      </c>
      <c r="D32" t="s">
        <v>131</v>
      </c>
      <c r="E32" t="s">
        <v>58</v>
      </c>
      <c r="F32" t="s">
        <v>23</v>
      </c>
      <c r="G32" t="s">
        <v>132</v>
      </c>
      <c r="H32">
        <f t="shared" si="0"/>
        <v>66000000</v>
      </c>
      <c r="I32">
        <f t="shared" si="1"/>
        <v>3000000</v>
      </c>
      <c r="J32">
        <f t="shared" si="2"/>
        <v>3300000</v>
      </c>
      <c r="K32" s="2">
        <f t="shared" si="3"/>
        <v>4.5454545454545456E-2</v>
      </c>
      <c r="L32" t="str">
        <f t="shared" si="4"/>
        <v>Tier 3</v>
      </c>
    </row>
    <row r="33" spans="1:12" x14ac:dyDescent="0.35">
      <c r="A33" s="1" t="s">
        <v>133</v>
      </c>
      <c r="B33">
        <v>32</v>
      </c>
      <c r="C33" t="s">
        <v>83</v>
      </c>
      <c r="D33" t="s">
        <v>134</v>
      </c>
      <c r="E33" t="s">
        <v>22</v>
      </c>
      <c r="F33" t="s">
        <v>90</v>
      </c>
      <c r="G33" t="s">
        <v>135</v>
      </c>
      <c r="H33">
        <f t="shared" si="0"/>
        <v>137300000</v>
      </c>
      <c r="I33">
        <f t="shared" si="1"/>
        <v>1100000</v>
      </c>
      <c r="J33">
        <f t="shared" si="2"/>
        <v>1500000</v>
      </c>
      <c r="K33" s="2">
        <f t="shared" si="3"/>
        <v>8.0116533139111441E-3</v>
      </c>
      <c r="L33" t="str">
        <f t="shared" si="4"/>
        <v>Tier 4</v>
      </c>
    </row>
    <row r="34" spans="1:12" x14ac:dyDescent="0.35">
      <c r="A34" s="1" t="s">
        <v>136</v>
      </c>
      <c r="B34">
        <v>33</v>
      </c>
      <c r="C34" t="s">
        <v>76</v>
      </c>
      <c r="D34" t="s">
        <v>137</v>
      </c>
      <c r="E34" t="s">
        <v>22</v>
      </c>
      <c r="F34" t="s">
        <v>138</v>
      </c>
      <c r="G34" t="s">
        <v>90</v>
      </c>
      <c r="H34">
        <f t="shared" si="0"/>
        <v>189000000</v>
      </c>
      <c r="I34">
        <f t="shared" si="1"/>
        <v>739800</v>
      </c>
      <c r="J34">
        <f t="shared" si="2"/>
        <v>1100000</v>
      </c>
      <c r="K34" s="2">
        <f t="shared" si="3"/>
        <v>3.9142857142857139E-3</v>
      </c>
      <c r="L34" t="str">
        <f t="shared" si="4"/>
        <v>Tier 4</v>
      </c>
    </row>
    <row r="35" spans="1:12" x14ac:dyDescent="0.35">
      <c r="A35" s="1" t="s">
        <v>139</v>
      </c>
      <c r="B35">
        <v>34</v>
      </c>
      <c r="C35" t="s">
        <v>26</v>
      </c>
      <c r="D35" t="s">
        <v>140</v>
      </c>
      <c r="E35" t="s">
        <v>141</v>
      </c>
      <c r="F35" t="s">
        <v>23</v>
      </c>
      <c r="G35" t="s">
        <v>142</v>
      </c>
      <c r="H35">
        <f t="shared" si="0"/>
        <v>54500000</v>
      </c>
      <c r="I35">
        <f t="shared" si="1"/>
        <v>3000000</v>
      </c>
      <c r="J35">
        <f t="shared" si="2"/>
        <v>3700000</v>
      </c>
      <c r="K35" s="2">
        <f t="shared" si="3"/>
        <v>5.5045871559633031E-2</v>
      </c>
      <c r="L35" t="str">
        <f t="shared" si="4"/>
        <v>Tier 3</v>
      </c>
    </row>
    <row r="36" spans="1:12" x14ac:dyDescent="0.35">
      <c r="A36" s="1" t="s">
        <v>143</v>
      </c>
      <c r="B36">
        <v>35</v>
      </c>
      <c r="C36" t="s">
        <v>26</v>
      </c>
      <c r="D36" t="s">
        <v>144</v>
      </c>
      <c r="E36" t="s">
        <v>10</v>
      </c>
      <c r="F36" t="s">
        <v>145</v>
      </c>
      <c r="G36" t="s">
        <v>33</v>
      </c>
      <c r="H36">
        <f t="shared" si="0"/>
        <v>46200000</v>
      </c>
      <c r="I36">
        <f t="shared" si="1"/>
        <v>2700000</v>
      </c>
      <c r="J36">
        <f t="shared" si="2"/>
        <v>4300000</v>
      </c>
      <c r="K36" s="2">
        <f t="shared" si="3"/>
        <v>5.844155844155844E-2</v>
      </c>
      <c r="L36" t="str">
        <f t="shared" si="4"/>
        <v>Tier 2</v>
      </c>
    </row>
    <row r="37" spans="1:12" x14ac:dyDescent="0.35">
      <c r="A37" s="1" t="s">
        <v>146</v>
      </c>
      <c r="B37">
        <v>36</v>
      </c>
      <c r="C37" t="s">
        <v>76</v>
      </c>
      <c r="D37" t="s">
        <v>147</v>
      </c>
      <c r="E37" t="s">
        <v>58</v>
      </c>
      <c r="F37" t="s">
        <v>148</v>
      </c>
      <c r="G37" t="s">
        <v>148</v>
      </c>
      <c r="H37">
        <f t="shared" si="0"/>
        <v>36000000</v>
      </c>
      <c r="I37">
        <f t="shared" si="1"/>
        <v>5400000</v>
      </c>
      <c r="J37">
        <f t="shared" si="2"/>
        <v>5400000</v>
      </c>
      <c r="K37" s="2">
        <f t="shared" si="3"/>
        <v>0.15</v>
      </c>
      <c r="L37" t="str">
        <f t="shared" si="4"/>
        <v>Tier 2</v>
      </c>
    </row>
    <row r="38" spans="1:12" x14ac:dyDescent="0.35">
      <c r="A38" s="1" t="s">
        <v>149</v>
      </c>
      <c r="B38">
        <v>37</v>
      </c>
      <c r="C38" t="s">
        <v>69</v>
      </c>
      <c r="D38" t="s">
        <v>150</v>
      </c>
      <c r="E38" t="s">
        <v>42</v>
      </c>
      <c r="F38" t="s">
        <v>103</v>
      </c>
      <c r="G38" t="s">
        <v>151</v>
      </c>
      <c r="H38">
        <f t="shared" si="0"/>
        <v>53200000</v>
      </c>
      <c r="I38">
        <f t="shared" si="1"/>
        <v>2800000</v>
      </c>
      <c r="J38">
        <f t="shared" si="2"/>
        <v>3500000</v>
      </c>
      <c r="K38" s="2">
        <f t="shared" si="3"/>
        <v>5.2631578947368418E-2</v>
      </c>
      <c r="L38" t="str">
        <f t="shared" si="4"/>
        <v>Tier 3</v>
      </c>
    </row>
    <row r="39" spans="1:12" x14ac:dyDescent="0.35">
      <c r="A39" s="1" t="s">
        <v>152</v>
      </c>
      <c r="B39">
        <v>38</v>
      </c>
      <c r="C39" t="s">
        <v>153</v>
      </c>
      <c r="D39" t="s">
        <v>154</v>
      </c>
      <c r="E39" t="s">
        <v>22</v>
      </c>
      <c r="F39" t="s">
        <v>155</v>
      </c>
      <c r="G39" t="s">
        <v>28</v>
      </c>
      <c r="H39">
        <f t="shared" si="0"/>
        <v>74900000</v>
      </c>
      <c r="I39">
        <f t="shared" si="1"/>
        <v>1600000</v>
      </c>
      <c r="J39">
        <f t="shared" si="2"/>
        <v>2400000</v>
      </c>
      <c r="K39" s="2">
        <f t="shared" si="3"/>
        <v>2.1361815754339118E-2</v>
      </c>
      <c r="L39" t="str">
        <f t="shared" si="4"/>
        <v>Tier 3</v>
      </c>
    </row>
    <row r="40" spans="1:12" x14ac:dyDescent="0.35">
      <c r="A40" s="1" t="s">
        <v>156</v>
      </c>
      <c r="B40">
        <v>39</v>
      </c>
      <c r="C40" t="s">
        <v>157</v>
      </c>
      <c r="D40" t="s">
        <v>158</v>
      </c>
      <c r="E40" t="s">
        <v>22</v>
      </c>
      <c r="F40" t="s">
        <v>159</v>
      </c>
      <c r="G40" t="s">
        <v>160</v>
      </c>
      <c r="H40">
        <f t="shared" si="0"/>
        <v>217500000</v>
      </c>
      <c r="I40">
        <f t="shared" si="1"/>
        <v>585700</v>
      </c>
      <c r="J40">
        <f t="shared" si="2"/>
        <v>743200</v>
      </c>
      <c r="K40" s="2">
        <f t="shared" si="3"/>
        <v>2.6928735632183909E-3</v>
      </c>
      <c r="L40" t="str">
        <f t="shared" si="4"/>
        <v>Tier 4</v>
      </c>
    </row>
    <row r="41" spans="1:12" x14ac:dyDescent="0.35">
      <c r="A41" s="1" t="s">
        <v>161</v>
      </c>
      <c r="B41">
        <v>40</v>
      </c>
      <c r="C41" t="s">
        <v>8</v>
      </c>
      <c r="D41" t="s">
        <v>162</v>
      </c>
      <c r="E41" t="s">
        <v>22</v>
      </c>
      <c r="F41" t="s">
        <v>163</v>
      </c>
      <c r="G41" t="s">
        <v>86</v>
      </c>
      <c r="H41">
        <f t="shared" si="0"/>
        <v>127400000</v>
      </c>
      <c r="I41">
        <f t="shared" si="1"/>
        <v>741700</v>
      </c>
      <c r="J41">
        <f t="shared" si="2"/>
        <v>1300000</v>
      </c>
      <c r="K41" s="2">
        <f t="shared" si="3"/>
        <v>5.82182103610675E-3</v>
      </c>
      <c r="L41" t="str">
        <f t="shared" si="4"/>
        <v>Tier 4</v>
      </c>
    </row>
    <row r="42" spans="1:12" x14ac:dyDescent="0.35">
      <c r="A42" s="1" t="s">
        <v>164</v>
      </c>
      <c r="B42">
        <v>41</v>
      </c>
      <c r="C42" t="s">
        <v>165</v>
      </c>
      <c r="D42" t="s">
        <v>166</v>
      </c>
      <c r="E42" t="s">
        <v>10</v>
      </c>
      <c r="F42" t="s">
        <v>167</v>
      </c>
      <c r="G42" t="s">
        <v>168</v>
      </c>
      <c r="H42">
        <f t="shared" si="0"/>
        <v>327300000</v>
      </c>
      <c r="I42">
        <f t="shared" si="1"/>
        <v>373200</v>
      </c>
      <c r="J42">
        <f t="shared" si="2"/>
        <v>479800</v>
      </c>
      <c r="K42" s="2">
        <f t="shared" si="3"/>
        <v>1.1402383134738771E-3</v>
      </c>
      <c r="L42" t="str">
        <f t="shared" si="4"/>
        <v>Tier 4</v>
      </c>
    </row>
    <row r="43" spans="1:12" x14ac:dyDescent="0.35">
      <c r="A43" s="1" t="s">
        <v>169</v>
      </c>
      <c r="B43">
        <v>42</v>
      </c>
      <c r="C43" t="s">
        <v>26</v>
      </c>
      <c r="D43" t="s">
        <v>170</v>
      </c>
      <c r="E43" t="s">
        <v>22</v>
      </c>
      <c r="F43" t="s">
        <v>171</v>
      </c>
      <c r="G43" t="s">
        <v>97</v>
      </c>
      <c r="H43">
        <f t="shared" si="0"/>
        <v>50600000</v>
      </c>
      <c r="I43">
        <f t="shared" si="1"/>
        <v>2200000</v>
      </c>
      <c r="J43">
        <f t="shared" si="2"/>
        <v>3100000</v>
      </c>
      <c r="K43" s="2">
        <f t="shared" si="3"/>
        <v>4.3478260869565216E-2</v>
      </c>
      <c r="L43" t="str">
        <f t="shared" si="4"/>
        <v>Tier 3</v>
      </c>
    </row>
    <row r="44" spans="1:12" x14ac:dyDescent="0.35">
      <c r="A44" s="1" t="s">
        <v>172</v>
      </c>
      <c r="B44">
        <v>43</v>
      </c>
      <c r="C44" t="s">
        <v>173</v>
      </c>
      <c r="D44" t="s">
        <v>174</v>
      </c>
      <c r="E44" t="s">
        <v>10</v>
      </c>
      <c r="F44" t="s">
        <v>145</v>
      </c>
      <c r="G44" t="s">
        <v>175</v>
      </c>
      <c r="H44">
        <f t="shared" si="0"/>
        <v>39000000</v>
      </c>
      <c r="I44">
        <f t="shared" si="1"/>
        <v>2700000</v>
      </c>
      <c r="J44">
        <f t="shared" si="2"/>
        <v>3800000</v>
      </c>
      <c r="K44" s="2">
        <f t="shared" si="3"/>
        <v>6.9230769230769235E-2</v>
      </c>
      <c r="L44" t="str">
        <f t="shared" si="4"/>
        <v>Tier 2</v>
      </c>
    </row>
    <row r="45" spans="1:12" x14ac:dyDescent="0.35">
      <c r="A45" s="1" t="s">
        <v>176</v>
      </c>
      <c r="B45">
        <v>44</v>
      </c>
      <c r="C45" t="s">
        <v>26</v>
      </c>
      <c r="D45" t="s">
        <v>177</v>
      </c>
      <c r="E45" t="s">
        <v>22</v>
      </c>
      <c r="F45" t="s">
        <v>178</v>
      </c>
      <c r="G45" t="s">
        <v>47</v>
      </c>
      <c r="H45">
        <f t="shared" si="0"/>
        <v>116600000</v>
      </c>
      <c r="I45">
        <f t="shared" si="1"/>
        <v>753600</v>
      </c>
      <c r="J45">
        <f t="shared" si="2"/>
        <v>1200000</v>
      </c>
      <c r="K45" s="2">
        <f t="shared" si="3"/>
        <v>6.4631217838765007E-3</v>
      </c>
      <c r="L45" t="str">
        <f t="shared" si="4"/>
        <v>Tier 4</v>
      </c>
    </row>
    <row r="46" spans="1:12" x14ac:dyDescent="0.35">
      <c r="A46" s="1" t="s">
        <v>179</v>
      </c>
      <c r="B46">
        <v>45</v>
      </c>
      <c r="C46" t="s">
        <v>180</v>
      </c>
      <c r="D46" t="s">
        <v>181</v>
      </c>
      <c r="E46" t="s">
        <v>10</v>
      </c>
      <c r="F46" t="s">
        <v>48</v>
      </c>
      <c r="G46" t="s">
        <v>171</v>
      </c>
      <c r="H46">
        <f t="shared" si="0"/>
        <v>65599999.999999993</v>
      </c>
      <c r="I46">
        <f t="shared" si="1"/>
        <v>1900000</v>
      </c>
      <c r="J46">
        <f t="shared" si="2"/>
        <v>2200000</v>
      </c>
      <c r="K46" s="2">
        <f t="shared" si="3"/>
        <v>2.8963414634146346E-2</v>
      </c>
      <c r="L46" t="str">
        <f t="shared" si="4"/>
        <v>Tier 3</v>
      </c>
    </row>
    <row r="47" spans="1:12" x14ac:dyDescent="0.35">
      <c r="A47" s="1" t="s">
        <v>182</v>
      </c>
      <c r="B47">
        <v>46</v>
      </c>
      <c r="C47" t="s">
        <v>83</v>
      </c>
      <c r="D47" t="s">
        <v>54</v>
      </c>
      <c r="E47" t="s">
        <v>22</v>
      </c>
      <c r="F47" t="s">
        <v>67</v>
      </c>
      <c r="G47" t="s">
        <v>183</v>
      </c>
      <c r="H47">
        <f t="shared" si="0"/>
        <v>46300000</v>
      </c>
      <c r="I47">
        <f t="shared" si="1"/>
        <v>2100000</v>
      </c>
      <c r="J47">
        <f t="shared" si="2"/>
        <v>2900000</v>
      </c>
      <c r="K47" s="2">
        <f t="shared" si="3"/>
        <v>4.5356371490280781E-2</v>
      </c>
      <c r="L47" t="str">
        <f t="shared" si="4"/>
        <v>Tier 2</v>
      </c>
    </row>
    <row r="48" spans="1:12" x14ac:dyDescent="0.35">
      <c r="A48" s="1" t="s">
        <v>184</v>
      </c>
      <c r="B48">
        <v>47</v>
      </c>
      <c r="C48" t="s">
        <v>26</v>
      </c>
      <c r="D48" t="s">
        <v>185</v>
      </c>
      <c r="E48" t="s">
        <v>22</v>
      </c>
      <c r="F48" t="s">
        <v>186</v>
      </c>
      <c r="G48" t="s">
        <v>187</v>
      </c>
      <c r="H48">
        <f t="shared" si="0"/>
        <v>178200000</v>
      </c>
      <c r="I48">
        <f t="shared" si="1"/>
        <v>557800</v>
      </c>
      <c r="J48">
        <f t="shared" si="2"/>
        <v>757200</v>
      </c>
      <c r="K48" s="2">
        <f t="shared" si="3"/>
        <v>3.1301907968574634E-3</v>
      </c>
      <c r="L48" t="str">
        <f t="shared" si="4"/>
        <v>Tier 4</v>
      </c>
    </row>
    <row r="49" spans="1:12" x14ac:dyDescent="0.35">
      <c r="A49" s="1" t="s">
        <v>188</v>
      </c>
      <c r="B49">
        <v>48</v>
      </c>
      <c r="C49" t="s">
        <v>50</v>
      </c>
      <c r="D49" t="s">
        <v>189</v>
      </c>
      <c r="E49" t="s">
        <v>58</v>
      </c>
      <c r="F49" t="s">
        <v>17</v>
      </c>
      <c r="G49" t="s">
        <v>190</v>
      </c>
      <c r="H49">
        <f t="shared" si="0"/>
        <v>29200000</v>
      </c>
      <c r="I49">
        <f t="shared" si="1"/>
        <v>3600000</v>
      </c>
      <c r="J49">
        <f t="shared" si="2"/>
        <v>4500000</v>
      </c>
      <c r="K49" s="2">
        <f t="shared" si="3"/>
        <v>0.12328767123287671</v>
      </c>
      <c r="L49" t="str">
        <f t="shared" si="4"/>
        <v>Tier 2</v>
      </c>
    </row>
    <row r="50" spans="1:12" x14ac:dyDescent="0.35">
      <c r="A50" s="1" t="s">
        <v>191</v>
      </c>
      <c r="B50">
        <v>49</v>
      </c>
      <c r="C50" t="s">
        <v>26</v>
      </c>
      <c r="D50" t="s">
        <v>192</v>
      </c>
      <c r="E50" t="s">
        <v>22</v>
      </c>
      <c r="F50" t="s">
        <v>38</v>
      </c>
      <c r="G50" t="s">
        <v>39</v>
      </c>
      <c r="H50">
        <f t="shared" si="0"/>
        <v>45800000</v>
      </c>
      <c r="I50">
        <f t="shared" si="1"/>
        <v>1700000</v>
      </c>
      <c r="J50">
        <f t="shared" si="2"/>
        <v>2500000</v>
      </c>
      <c r="K50" s="2">
        <f t="shared" si="3"/>
        <v>3.7117903930131008E-2</v>
      </c>
      <c r="L50" t="str">
        <f t="shared" si="4"/>
        <v>Tier 2</v>
      </c>
    </row>
    <row r="51" spans="1:12" x14ac:dyDescent="0.35">
      <c r="A51" s="1" t="s">
        <v>193</v>
      </c>
      <c r="B51">
        <v>50</v>
      </c>
      <c r="C51" t="s">
        <v>69</v>
      </c>
      <c r="D51" t="s">
        <v>194</v>
      </c>
      <c r="E51" t="s">
        <v>195</v>
      </c>
      <c r="F51" t="s">
        <v>196</v>
      </c>
      <c r="G51" t="s">
        <v>175</v>
      </c>
      <c r="H51">
        <f t="shared" si="0"/>
        <v>29400000</v>
      </c>
      <c r="I51">
        <f t="shared" si="1"/>
        <v>2600000</v>
      </c>
      <c r="J51">
        <f t="shared" si="2"/>
        <v>3800000</v>
      </c>
      <c r="K51" s="2">
        <f t="shared" si="3"/>
        <v>8.8435374149659865E-2</v>
      </c>
      <c r="L51" t="str">
        <f t="shared" si="4"/>
        <v>Tier 2</v>
      </c>
    </row>
    <row r="52" spans="1:12" x14ac:dyDescent="0.35">
      <c r="A52" s="1" t="s">
        <v>197</v>
      </c>
      <c r="B52">
        <v>51</v>
      </c>
      <c r="C52" t="s">
        <v>69</v>
      </c>
      <c r="D52" t="s">
        <v>150</v>
      </c>
      <c r="E52" t="s">
        <v>10</v>
      </c>
      <c r="F52" t="s">
        <v>155</v>
      </c>
      <c r="G52" t="s">
        <v>198</v>
      </c>
      <c r="H52">
        <f t="shared" si="0"/>
        <v>53200000</v>
      </c>
      <c r="I52">
        <f t="shared" si="1"/>
        <v>1600000</v>
      </c>
      <c r="J52">
        <f t="shared" si="2"/>
        <v>2000000</v>
      </c>
      <c r="K52" s="2">
        <f t="shared" si="3"/>
        <v>3.007518796992481E-2</v>
      </c>
      <c r="L52" t="str">
        <f t="shared" si="4"/>
        <v>Tier 3</v>
      </c>
    </row>
    <row r="53" spans="1:12" x14ac:dyDescent="0.35">
      <c r="A53" s="1" t="s">
        <v>199</v>
      </c>
      <c r="B53">
        <v>52</v>
      </c>
      <c r="C53" t="s">
        <v>200</v>
      </c>
      <c r="D53" t="s">
        <v>201</v>
      </c>
      <c r="E53" t="s">
        <v>114</v>
      </c>
      <c r="F53" t="s">
        <v>23</v>
      </c>
      <c r="G53" t="s">
        <v>151</v>
      </c>
      <c r="H53">
        <f t="shared" si="0"/>
        <v>27000000</v>
      </c>
      <c r="I53">
        <f t="shared" si="1"/>
        <v>3000000</v>
      </c>
      <c r="J53">
        <f t="shared" si="2"/>
        <v>3500000</v>
      </c>
      <c r="K53" s="2">
        <f t="shared" si="3"/>
        <v>0.1111111111111111</v>
      </c>
      <c r="L53" t="str">
        <f t="shared" si="4"/>
        <v>Tier 2</v>
      </c>
    </row>
    <row r="54" spans="1:12" x14ac:dyDescent="0.35">
      <c r="A54" s="1" t="s">
        <v>202</v>
      </c>
      <c r="B54">
        <v>53</v>
      </c>
      <c r="C54" t="s">
        <v>69</v>
      </c>
      <c r="D54" t="s">
        <v>203</v>
      </c>
      <c r="E54" t="s">
        <v>58</v>
      </c>
      <c r="F54" t="s">
        <v>28</v>
      </c>
      <c r="G54" t="s">
        <v>97</v>
      </c>
      <c r="H54">
        <f t="shared" si="0"/>
        <v>30100000</v>
      </c>
      <c r="I54">
        <f t="shared" si="1"/>
        <v>2400000</v>
      </c>
      <c r="J54">
        <f t="shared" si="2"/>
        <v>3100000</v>
      </c>
      <c r="K54" s="2">
        <f t="shared" si="3"/>
        <v>7.9734219269102985E-2</v>
      </c>
      <c r="L54" t="str">
        <f t="shared" si="4"/>
        <v>Tier 2</v>
      </c>
    </row>
    <row r="55" spans="1:12" x14ac:dyDescent="0.35">
      <c r="A55" s="1" t="s">
        <v>204</v>
      </c>
      <c r="B55">
        <v>54</v>
      </c>
      <c r="C55" t="s">
        <v>205</v>
      </c>
      <c r="D55" t="s">
        <v>62</v>
      </c>
      <c r="E55" t="s">
        <v>10</v>
      </c>
      <c r="F55" t="s">
        <v>47</v>
      </c>
      <c r="G55" t="s">
        <v>86</v>
      </c>
      <c r="H55">
        <f t="shared" si="0"/>
        <v>68200000</v>
      </c>
      <c r="I55">
        <f t="shared" si="1"/>
        <v>1200000</v>
      </c>
      <c r="J55">
        <f t="shared" si="2"/>
        <v>1300000</v>
      </c>
      <c r="K55" s="2">
        <f t="shared" si="3"/>
        <v>1.7595307917888565E-2</v>
      </c>
      <c r="L55" t="str">
        <f t="shared" si="4"/>
        <v>Tier 3</v>
      </c>
    </row>
    <row r="56" spans="1:12" x14ac:dyDescent="0.35">
      <c r="A56" s="1" t="s">
        <v>206</v>
      </c>
      <c r="B56">
        <v>55</v>
      </c>
      <c r="C56" t="s">
        <v>26</v>
      </c>
      <c r="D56" t="s">
        <v>207</v>
      </c>
      <c r="E56" t="s">
        <v>42</v>
      </c>
      <c r="F56" t="s">
        <v>208</v>
      </c>
      <c r="G56" t="s">
        <v>47</v>
      </c>
      <c r="H56">
        <f t="shared" si="0"/>
        <v>69400000</v>
      </c>
      <c r="I56">
        <f t="shared" si="1"/>
        <v>838000</v>
      </c>
      <c r="J56">
        <f t="shared" si="2"/>
        <v>1200000</v>
      </c>
      <c r="K56" s="2">
        <f t="shared" si="3"/>
        <v>1.207492795389049E-2</v>
      </c>
      <c r="L56" t="str">
        <f t="shared" si="4"/>
        <v>Tier 3</v>
      </c>
    </row>
    <row r="57" spans="1:12" x14ac:dyDescent="0.35">
      <c r="A57" s="1" t="s">
        <v>209</v>
      </c>
      <c r="B57">
        <v>56</v>
      </c>
      <c r="C57" t="s">
        <v>8</v>
      </c>
      <c r="D57" t="s">
        <v>210</v>
      </c>
      <c r="E57" t="s">
        <v>211</v>
      </c>
      <c r="F57" t="s">
        <v>212</v>
      </c>
      <c r="G57" t="s">
        <v>90</v>
      </c>
      <c r="H57">
        <f t="shared" si="0"/>
        <v>72400000</v>
      </c>
      <c r="I57">
        <f t="shared" si="1"/>
        <v>806500</v>
      </c>
      <c r="J57">
        <f t="shared" si="2"/>
        <v>1100000</v>
      </c>
      <c r="K57" s="2">
        <f t="shared" si="3"/>
        <v>1.1139502762430939E-2</v>
      </c>
      <c r="L57" t="str">
        <f t="shared" si="4"/>
        <v>Tier 3</v>
      </c>
    </row>
    <row r="58" spans="1:12" x14ac:dyDescent="0.35">
      <c r="A58" s="1" t="s">
        <v>213</v>
      </c>
      <c r="B58">
        <v>57</v>
      </c>
      <c r="C58" t="s">
        <v>214</v>
      </c>
      <c r="D58" t="s">
        <v>215</v>
      </c>
      <c r="E58" t="s">
        <v>10</v>
      </c>
      <c r="F58" t="s">
        <v>28</v>
      </c>
      <c r="G58" t="s">
        <v>97</v>
      </c>
      <c r="H58">
        <f t="shared" si="0"/>
        <v>26600000</v>
      </c>
      <c r="I58">
        <f t="shared" si="1"/>
        <v>2400000</v>
      </c>
      <c r="J58">
        <f t="shared" si="2"/>
        <v>3100000</v>
      </c>
      <c r="K58" s="2">
        <f t="shared" si="3"/>
        <v>9.0225563909774431E-2</v>
      </c>
      <c r="L58" t="str">
        <f t="shared" si="4"/>
        <v>Tier 2</v>
      </c>
    </row>
    <row r="59" spans="1:12" x14ac:dyDescent="0.35">
      <c r="A59" s="1" t="s">
        <v>216</v>
      </c>
      <c r="B59">
        <v>58</v>
      </c>
      <c r="C59" t="s">
        <v>69</v>
      </c>
      <c r="D59" t="s">
        <v>217</v>
      </c>
      <c r="E59" t="s">
        <v>10</v>
      </c>
      <c r="F59" t="s">
        <v>218</v>
      </c>
      <c r="G59" t="s">
        <v>47</v>
      </c>
      <c r="H59">
        <f t="shared" si="0"/>
        <v>67200000</v>
      </c>
      <c r="I59">
        <f t="shared" si="1"/>
        <v>979600</v>
      </c>
      <c r="J59">
        <f t="shared" si="2"/>
        <v>1200000</v>
      </c>
      <c r="K59" s="2">
        <f t="shared" si="3"/>
        <v>1.4577380952380953E-2</v>
      </c>
      <c r="L59" t="str">
        <f t="shared" si="4"/>
        <v>Tier 3</v>
      </c>
    </row>
    <row r="60" spans="1:12" x14ac:dyDescent="0.35">
      <c r="A60" s="1" t="s">
        <v>219</v>
      </c>
      <c r="B60">
        <v>59</v>
      </c>
      <c r="C60" t="s">
        <v>157</v>
      </c>
      <c r="D60" t="s">
        <v>220</v>
      </c>
      <c r="E60" t="s">
        <v>10</v>
      </c>
      <c r="F60" t="s">
        <v>221</v>
      </c>
      <c r="G60" t="s">
        <v>183</v>
      </c>
      <c r="H60">
        <f t="shared" si="0"/>
        <v>27100000</v>
      </c>
      <c r="I60">
        <f t="shared" si="1"/>
        <v>2300000</v>
      </c>
      <c r="J60">
        <f t="shared" si="2"/>
        <v>2900000</v>
      </c>
      <c r="K60" s="2">
        <f t="shared" si="3"/>
        <v>8.4870848708487087E-2</v>
      </c>
      <c r="L60" t="str">
        <f t="shared" si="4"/>
        <v>Tier 2</v>
      </c>
    </row>
    <row r="61" spans="1:12" x14ac:dyDescent="0.35">
      <c r="A61" s="1" t="s">
        <v>222</v>
      </c>
      <c r="B61">
        <v>60</v>
      </c>
      <c r="C61" t="s">
        <v>69</v>
      </c>
      <c r="D61" t="s">
        <v>223</v>
      </c>
      <c r="E61" t="s">
        <v>10</v>
      </c>
      <c r="F61" t="s">
        <v>47</v>
      </c>
      <c r="G61" t="s">
        <v>86</v>
      </c>
      <c r="H61">
        <f t="shared" si="0"/>
        <v>59300000</v>
      </c>
      <c r="I61">
        <f t="shared" si="1"/>
        <v>1200000</v>
      </c>
      <c r="J61">
        <f t="shared" si="2"/>
        <v>1300000</v>
      </c>
      <c r="K61" s="2">
        <f t="shared" si="3"/>
        <v>2.0236087689713321E-2</v>
      </c>
      <c r="L61" t="str">
        <f t="shared" si="4"/>
        <v>Tier 3</v>
      </c>
    </row>
    <row r="62" spans="1:12" x14ac:dyDescent="0.35">
      <c r="A62" s="1" t="s">
        <v>224</v>
      </c>
      <c r="B62">
        <v>61</v>
      </c>
      <c r="C62" t="s">
        <v>26</v>
      </c>
      <c r="D62" t="s">
        <v>225</v>
      </c>
      <c r="E62" t="s">
        <v>141</v>
      </c>
      <c r="F62" t="s">
        <v>226</v>
      </c>
      <c r="G62" t="s">
        <v>227</v>
      </c>
      <c r="H62">
        <f t="shared" si="0"/>
        <v>85100000</v>
      </c>
      <c r="I62">
        <f t="shared" si="1"/>
        <v>729100</v>
      </c>
      <c r="J62">
        <f t="shared" si="2"/>
        <v>879100</v>
      </c>
      <c r="K62" s="2">
        <f t="shared" si="3"/>
        <v>8.5675675675675675E-3</v>
      </c>
      <c r="L62" t="str">
        <f t="shared" si="4"/>
        <v>Tier 3</v>
      </c>
    </row>
    <row r="63" spans="1:12" x14ac:dyDescent="0.35">
      <c r="A63" s="1" t="s">
        <v>228</v>
      </c>
      <c r="B63">
        <v>62</v>
      </c>
      <c r="C63" t="s">
        <v>69</v>
      </c>
      <c r="D63" t="s">
        <v>229</v>
      </c>
      <c r="E63" t="s">
        <v>22</v>
      </c>
      <c r="F63" t="s">
        <v>47</v>
      </c>
      <c r="G63" t="s">
        <v>135</v>
      </c>
      <c r="H63">
        <f t="shared" si="0"/>
        <v>48100000</v>
      </c>
      <c r="I63">
        <f t="shared" si="1"/>
        <v>1200000</v>
      </c>
      <c r="J63">
        <f t="shared" si="2"/>
        <v>1500000</v>
      </c>
      <c r="K63" s="2">
        <f t="shared" si="3"/>
        <v>2.4948024948024949E-2</v>
      </c>
      <c r="L63" t="str">
        <f t="shared" si="4"/>
        <v>Tier 2</v>
      </c>
    </row>
    <row r="64" spans="1:12" x14ac:dyDescent="0.35">
      <c r="A64" s="1" t="s">
        <v>230</v>
      </c>
      <c r="B64">
        <v>63</v>
      </c>
      <c r="C64" t="s">
        <v>26</v>
      </c>
      <c r="D64" t="s">
        <v>231</v>
      </c>
      <c r="E64" t="s">
        <v>42</v>
      </c>
      <c r="F64" t="s">
        <v>232</v>
      </c>
      <c r="G64" t="s">
        <v>90</v>
      </c>
      <c r="H64">
        <f t="shared" si="0"/>
        <v>64400000.000000007</v>
      </c>
      <c r="I64">
        <f t="shared" si="1"/>
        <v>845400</v>
      </c>
      <c r="J64">
        <f t="shared" si="2"/>
        <v>1100000</v>
      </c>
      <c r="K64" s="2">
        <f t="shared" si="3"/>
        <v>1.3127329192546583E-2</v>
      </c>
      <c r="L64" t="str">
        <f t="shared" si="4"/>
        <v>Tier 3</v>
      </c>
    </row>
    <row r="65" spans="1:12" x14ac:dyDescent="0.35">
      <c r="A65" s="1" t="s">
        <v>233</v>
      </c>
      <c r="B65">
        <v>64</v>
      </c>
      <c r="C65" t="s">
        <v>69</v>
      </c>
      <c r="D65" t="s">
        <v>234</v>
      </c>
      <c r="E65" t="s">
        <v>42</v>
      </c>
      <c r="F65" t="s">
        <v>221</v>
      </c>
      <c r="G65" t="s">
        <v>183</v>
      </c>
      <c r="H65">
        <f t="shared" si="0"/>
        <v>24700000</v>
      </c>
      <c r="I65">
        <f t="shared" si="1"/>
        <v>2300000</v>
      </c>
      <c r="J65">
        <f t="shared" si="2"/>
        <v>2900000</v>
      </c>
      <c r="K65" s="2">
        <f t="shared" si="3"/>
        <v>9.3117408906882596E-2</v>
      </c>
      <c r="L65" t="str">
        <f t="shared" si="4"/>
        <v>Tier 2</v>
      </c>
    </row>
    <row r="66" spans="1:12" x14ac:dyDescent="0.35">
      <c r="A66" s="1" t="s">
        <v>235</v>
      </c>
      <c r="B66">
        <v>65</v>
      </c>
      <c r="C66" t="s">
        <v>69</v>
      </c>
      <c r="D66" t="s">
        <v>236</v>
      </c>
      <c r="E66" t="s">
        <v>10</v>
      </c>
      <c r="F66" t="s">
        <v>86</v>
      </c>
      <c r="G66" t="s">
        <v>171</v>
      </c>
      <c r="H66">
        <f t="shared" si="0"/>
        <v>32900000</v>
      </c>
      <c r="I66">
        <f t="shared" si="1"/>
        <v>1300000</v>
      </c>
      <c r="J66">
        <f t="shared" si="2"/>
        <v>2200000</v>
      </c>
      <c r="K66" s="2">
        <f t="shared" si="3"/>
        <v>3.9513677811550151E-2</v>
      </c>
      <c r="L66" t="str">
        <f t="shared" si="4"/>
        <v>Tier 2</v>
      </c>
    </row>
    <row r="67" spans="1:12" x14ac:dyDescent="0.35">
      <c r="A67" s="1" t="s">
        <v>237</v>
      </c>
      <c r="B67">
        <v>66</v>
      </c>
      <c r="C67" t="s">
        <v>238</v>
      </c>
      <c r="D67" t="s">
        <v>239</v>
      </c>
      <c r="E67" t="s">
        <v>22</v>
      </c>
      <c r="F67" t="s">
        <v>47</v>
      </c>
      <c r="G67" t="s">
        <v>52</v>
      </c>
      <c r="H67">
        <f t="shared" ref="H67:H130" si="5">IF(RIGHT(D67,1)="M", VALUE(SUBSTITUTE(D67,"M",""))*1000000, VALUE(SUBSTITUTE(D67,"K",""))*1000)</f>
        <v>48900000</v>
      </c>
      <c r="I67">
        <f t="shared" ref="I67:I130" si="6">IF(RIGHT(F67,1)="M", VALUE(SUBSTITUTE(F67,"M",""))*1000000, VALUE(SUBSTITUTE(F67,"K",""))*1000)</f>
        <v>1200000</v>
      </c>
      <c r="J67">
        <f t="shared" ref="J67:J130" si="7">IF(RIGHT(G67,1)="M", VALUE(SUBSTITUTE(G67,"M",""))*1000000, VALUE(SUBSTITUTE(G67,"K",""))*1000)</f>
        <v>1400000</v>
      </c>
      <c r="K67" s="2">
        <f t="shared" ref="K67:K130" si="8">I67/H67</f>
        <v>2.4539877300613498E-2</v>
      </c>
      <c r="L67" t="str">
        <f t="shared" ref="L67:L130" si="9">IF(H67&lt;10000000,"Tier 1",
 IF(H67&lt;50000000,"Tier 2",
 IF(H67&lt;100000000,"Tier 3",
 "Tier 4")))</f>
        <v>Tier 2</v>
      </c>
    </row>
    <row r="68" spans="1:12" x14ac:dyDescent="0.35">
      <c r="A68" s="1" t="s">
        <v>240</v>
      </c>
      <c r="B68">
        <v>67</v>
      </c>
      <c r="C68" t="s">
        <v>26</v>
      </c>
      <c r="D68" t="s">
        <v>241</v>
      </c>
      <c r="E68" t="s">
        <v>22</v>
      </c>
      <c r="F68" t="s">
        <v>198</v>
      </c>
      <c r="G68" t="s">
        <v>145</v>
      </c>
      <c r="H68">
        <f t="shared" si="5"/>
        <v>24200000</v>
      </c>
      <c r="I68">
        <f t="shared" si="6"/>
        <v>2000000</v>
      </c>
      <c r="J68">
        <f t="shared" si="7"/>
        <v>2700000</v>
      </c>
      <c r="K68" s="2">
        <f t="shared" si="8"/>
        <v>8.2644628099173556E-2</v>
      </c>
      <c r="L68" t="str">
        <f t="shared" si="9"/>
        <v>Tier 2</v>
      </c>
    </row>
    <row r="69" spans="1:12" x14ac:dyDescent="0.35">
      <c r="A69" s="1" t="s">
        <v>242</v>
      </c>
      <c r="B69">
        <v>68</v>
      </c>
      <c r="C69" t="s">
        <v>69</v>
      </c>
      <c r="D69" t="s">
        <v>243</v>
      </c>
      <c r="E69" t="s">
        <v>10</v>
      </c>
      <c r="F69" t="s">
        <v>244</v>
      </c>
      <c r="G69" t="s">
        <v>90</v>
      </c>
      <c r="H69">
        <f t="shared" si="5"/>
        <v>55100000</v>
      </c>
      <c r="I69">
        <f t="shared" si="6"/>
        <v>869200</v>
      </c>
      <c r="J69">
        <f t="shared" si="7"/>
        <v>1100000</v>
      </c>
      <c r="K69" s="2">
        <f t="shared" si="8"/>
        <v>1.5774954627949183E-2</v>
      </c>
      <c r="L69" t="str">
        <f t="shared" si="9"/>
        <v>Tier 3</v>
      </c>
    </row>
    <row r="70" spans="1:12" x14ac:dyDescent="0.35">
      <c r="A70" s="1" t="s">
        <v>245</v>
      </c>
      <c r="B70">
        <v>69</v>
      </c>
      <c r="C70" t="s">
        <v>88</v>
      </c>
      <c r="D70" t="s">
        <v>246</v>
      </c>
      <c r="E70" t="s">
        <v>141</v>
      </c>
      <c r="F70" t="s">
        <v>52</v>
      </c>
      <c r="G70" t="s">
        <v>38</v>
      </c>
      <c r="H70">
        <f t="shared" si="5"/>
        <v>35200000</v>
      </c>
      <c r="I70">
        <f t="shared" si="6"/>
        <v>1400000</v>
      </c>
      <c r="J70">
        <f t="shared" si="7"/>
        <v>1700000</v>
      </c>
      <c r="K70" s="2">
        <f t="shared" si="8"/>
        <v>3.9772727272727272E-2</v>
      </c>
      <c r="L70" t="str">
        <f t="shared" si="9"/>
        <v>Tier 2</v>
      </c>
    </row>
    <row r="71" spans="1:12" x14ac:dyDescent="0.35">
      <c r="A71" s="1" t="s">
        <v>247</v>
      </c>
      <c r="B71">
        <v>70</v>
      </c>
      <c r="C71" t="s">
        <v>26</v>
      </c>
      <c r="D71" t="s">
        <v>248</v>
      </c>
      <c r="E71" t="s">
        <v>141</v>
      </c>
      <c r="F71" t="s">
        <v>249</v>
      </c>
      <c r="G71" t="s">
        <v>47</v>
      </c>
      <c r="H71">
        <f t="shared" si="5"/>
        <v>49000000</v>
      </c>
      <c r="I71">
        <f t="shared" si="6"/>
        <v>763500</v>
      </c>
      <c r="J71">
        <f t="shared" si="7"/>
        <v>1200000</v>
      </c>
      <c r="K71" s="2">
        <f t="shared" si="8"/>
        <v>1.5581632653061225E-2</v>
      </c>
      <c r="L71" t="str">
        <f t="shared" si="9"/>
        <v>Tier 2</v>
      </c>
    </row>
    <row r="72" spans="1:12" x14ac:dyDescent="0.35">
      <c r="A72" s="1" t="s">
        <v>250</v>
      </c>
      <c r="B72">
        <v>71</v>
      </c>
      <c r="C72" t="s">
        <v>8</v>
      </c>
      <c r="D72" t="s">
        <v>251</v>
      </c>
      <c r="E72" t="s">
        <v>252</v>
      </c>
      <c r="F72" t="s">
        <v>253</v>
      </c>
      <c r="G72" t="s">
        <v>90</v>
      </c>
      <c r="H72">
        <f t="shared" si="5"/>
        <v>54600000</v>
      </c>
      <c r="I72">
        <f t="shared" si="6"/>
        <v>682100</v>
      </c>
      <c r="J72">
        <f t="shared" si="7"/>
        <v>1100000</v>
      </c>
      <c r="K72" s="2">
        <f t="shared" si="8"/>
        <v>1.2492673992673993E-2</v>
      </c>
      <c r="L72" t="str">
        <f t="shared" si="9"/>
        <v>Tier 3</v>
      </c>
    </row>
    <row r="73" spans="1:12" x14ac:dyDescent="0.35">
      <c r="A73" s="1" t="s">
        <v>254</v>
      </c>
      <c r="B73">
        <v>72</v>
      </c>
      <c r="C73" t="s">
        <v>8</v>
      </c>
      <c r="D73" t="s">
        <v>255</v>
      </c>
      <c r="E73" t="s">
        <v>256</v>
      </c>
      <c r="F73" t="s">
        <v>257</v>
      </c>
      <c r="G73" t="s">
        <v>90</v>
      </c>
      <c r="H73">
        <f t="shared" si="5"/>
        <v>51900000</v>
      </c>
      <c r="I73">
        <f t="shared" si="6"/>
        <v>753400</v>
      </c>
      <c r="J73">
        <f t="shared" si="7"/>
        <v>1100000</v>
      </c>
      <c r="K73" s="2">
        <f t="shared" si="8"/>
        <v>1.4516377649325627E-2</v>
      </c>
      <c r="L73" t="str">
        <f t="shared" si="9"/>
        <v>Tier 3</v>
      </c>
    </row>
    <row r="74" spans="1:12" x14ac:dyDescent="0.35">
      <c r="A74" s="1" t="s">
        <v>258</v>
      </c>
      <c r="B74">
        <v>73</v>
      </c>
      <c r="C74" t="s">
        <v>259</v>
      </c>
      <c r="D74" t="s">
        <v>260</v>
      </c>
      <c r="E74" t="s">
        <v>58</v>
      </c>
      <c r="F74" t="s">
        <v>67</v>
      </c>
      <c r="G74" t="s">
        <v>39</v>
      </c>
      <c r="H74">
        <f t="shared" si="5"/>
        <v>22200000</v>
      </c>
      <c r="I74">
        <f t="shared" si="6"/>
        <v>2100000</v>
      </c>
      <c r="J74">
        <f t="shared" si="7"/>
        <v>2500000</v>
      </c>
      <c r="K74" s="2">
        <f t="shared" si="8"/>
        <v>9.45945945945946E-2</v>
      </c>
      <c r="L74" t="str">
        <f t="shared" si="9"/>
        <v>Tier 2</v>
      </c>
    </row>
    <row r="75" spans="1:12" x14ac:dyDescent="0.35">
      <c r="A75" s="1" t="s">
        <v>261</v>
      </c>
      <c r="B75">
        <v>74</v>
      </c>
      <c r="C75" t="s">
        <v>69</v>
      </c>
      <c r="D75" t="s">
        <v>262</v>
      </c>
      <c r="E75" t="s">
        <v>58</v>
      </c>
      <c r="F75" t="s">
        <v>100</v>
      </c>
      <c r="G75" t="s">
        <v>28</v>
      </c>
      <c r="H75">
        <f t="shared" si="5"/>
        <v>23000000</v>
      </c>
      <c r="I75">
        <f t="shared" si="6"/>
        <v>1800000</v>
      </c>
      <c r="J75">
        <f t="shared" si="7"/>
        <v>2400000</v>
      </c>
      <c r="K75" s="2">
        <f t="shared" si="8"/>
        <v>7.8260869565217397E-2</v>
      </c>
      <c r="L75" t="str">
        <f t="shared" si="9"/>
        <v>Tier 2</v>
      </c>
    </row>
    <row r="76" spans="1:12" x14ac:dyDescent="0.35">
      <c r="A76" s="1" t="s">
        <v>263</v>
      </c>
      <c r="B76">
        <v>75</v>
      </c>
      <c r="C76" t="s">
        <v>69</v>
      </c>
      <c r="D76" t="s">
        <v>264</v>
      </c>
      <c r="E76" t="s">
        <v>265</v>
      </c>
      <c r="F76" t="s">
        <v>52</v>
      </c>
      <c r="G76" t="s">
        <v>48</v>
      </c>
      <c r="H76">
        <f t="shared" si="5"/>
        <v>28500000</v>
      </c>
      <c r="I76">
        <f t="shared" si="6"/>
        <v>1400000</v>
      </c>
      <c r="J76">
        <f t="shared" si="7"/>
        <v>1900000</v>
      </c>
      <c r="K76" s="2">
        <f t="shared" si="8"/>
        <v>4.912280701754386E-2</v>
      </c>
      <c r="L76" t="str">
        <f t="shared" si="9"/>
        <v>Tier 2</v>
      </c>
    </row>
    <row r="77" spans="1:12" x14ac:dyDescent="0.35">
      <c r="A77" s="1" t="s">
        <v>266</v>
      </c>
      <c r="B77">
        <v>76</v>
      </c>
      <c r="C77" t="s">
        <v>26</v>
      </c>
      <c r="D77" t="s">
        <v>267</v>
      </c>
      <c r="E77" t="s">
        <v>22</v>
      </c>
      <c r="F77" t="s">
        <v>47</v>
      </c>
      <c r="G77" t="s">
        <v>100</v>
      </c>
      <c r="H77">
        <f t="shared" si="5"/>
        <v>30200000</v>
      </c>
      <c r="I77">
        <f t="shared" si="6"/>
        <v>1200000</v>
      </c>
      <c r="J77">
        <f t="shared" si="7"/>
        <v>1800000</v>
      </c>
      <c r="K77" s="2">
        <f t="shared" si="8"/>
        <v>3.9735099337748346E-2</v>
      </c>
      <c r="L77" t="str">
        <f t="shared" si="9"/>
        <v>Tier 2</v>
      </c>
    </row>
    <row r="78" spans="1:12" x14ac:dyDescent="0.35">
      <c r="A78" s="1" t="s">
        <v>268</v>
      </c>
      <c r="B78">
        <v>77</v>
      </c>
      <c r="C78" t="s">
        <v>8</v>
      </c>
      <c r="D78" t="s">
        <v>269</v>
      </c>
      <c r="E78" t="s">
        <v>16</v>
      </c>
      <c r="F78" t="s">
        <v>270</v>
      </c>
      <c r="G78" t="s">
        <v>90</v>
      </c>
      <c r="H78">
        <f t="shared" si="5"/>
        <v>47700000</v>
      </c>
      <c r="I78">
        <f t="shared" si="6"/>
        <v>684300</v>
      </c>
      <c r="J78">
        <f t="shared" si="7"/>
        <v>1100000</v>
      </c>
      <c r="K78" s="2">
        <f t="shared" si="8"/>
        <v>1.4345911949685534E-2</v>
      </c>
      <c r="L78" t="str">
        <f t="shared" si="9"/>
        <v>Tier 2</v>
      </c>
    </row>
    <row r="79" spans="1:12" x14ac:dyDescent="0.35">
      <c r="A79" s="1" t="s">
        <v>271</v>
      </c>
      <c r="B79">
        <v>78</v>
      </c>
      <c r="C79" t="s">
        <v>69</v>
      </c>
      <c r="D79" t="s">
        <v>272</v>
      </c>
      <c r="E79" t="s">
        <v>22</v>
      </c>
      <c r="F79" t="s">
        <v>273</v>
      </c>
      <c r="G79" t="s">
        <v>274</v>
      </c>
      <c r="H79">
        <f t="shared" si="5"/>
        <v>83800000</v>
      </c>
      <c r="I79">
        <f t="shared" si="6"/>
        <v>468300</v>
      </c>
      <c r="J79">
        <f t="shared" si="7"/>
        <v>605900</v>
      </c>
      <c r="K79" s="2">
        <f t="shared" si="8"/>
        <v>5.5883054892601428E-3</v>
      </c>
      <c r="L79" t="str">
        <f t="shared" si="9"/>
        <v>Tier 3</v>
      </c>
    </row>
    <row r="80" spans="1:12" x14ac:dyDescent="0.35">
      <c r="A80" s="1" t="s">
        <v>275</v>
      </c>
      <c r="B80">
        <v>79</v>
      </c>
      <c r="C80" t="s">
        <v>26</v>
      </c>
      <c r="D80" t="s">
        <v>276</v>
      </c>
      <c r="E80" t="s">
        <v>58</v>
      </c>
      <c r="F80" t="s">
        <v>38</v>
      </c>
      <c r="G80" t="s">
        <v>67</v>
      </c>
      <c r="H80">
        <f t="shared" si="5"/>
        <v>23300000</v>
      </c>
      <c r="I80">
        <f t="shared" si="6"/>
        <v>1700000</v>
      </c>
      <c r="J80">
        <f t="shared" si="7"/>
        <v>2100000</v>
      </c>
      <c r="K80" s="2">
        <f t="shared" si="8"/>
        <v>7.2961373390557943E-2</v>
      </c>
      <c r="L80" t="str">
        <f t="shared" si="9"/>
        <v>Tier 2</v>
      </c>
    </row>
    <row r="81" spans="1:12" x14ac:dyDescent="0.35">
      <c r="A81" s="1" t="s">
        <v>277</v>
      </c>
      <c r="B81">
        <v>80</v>
      </c>
      <c r="C81" t="s">
        <v>8</v>
      </c>
      <c r="D81" t="s">
        <v>278</v>
      </c>
      <c r="E81" t="s">
        <v>279</v>
      </c>
      <c r="F81" t="s">
        <v>280</v>
      </c>
      <c r="G81" t="s">
        <v>281</v>
      </c>
      <c r="H81">
        <f t="shared" si="5"/>
        <v>121800000</v>
      </c>
      <c r="I81">
        <f t="shared" si="6"/>
        <v>289500</v>
      </c>
      <c r="J81">
        <f t="shared" si="7"/>
        <v>396500</v>
      </c>
      <c r="K81" s="2">
        <f t="shared" si="8"/>
        <v>2.3768472906403942E-3</v>
      </c>
      <c r="L81" t="str">
        <f t="shared" si="9"/>
        <v>Tier 4</v>
      </c>
    </row>
    <row r="82" spans="1:12" x14ac:dyDescent="0.35">
      <c r="A82" s="1" t="s">
        <v>282</v>
      </c>
      <c r="B82">
        <v>81</v>
      </c>
      <c r="C82" t="s">
        <v>283</v>
      </c>
      <c r="D82" t="s">
        <v>284</v>
      </c>
      <c r="E82" t="s">
        <v>42</v>
      </c>
      <c r="F82" t="s">
        <v>135</v>
      </c>
      <c r="G82" t="s">
        <v>171</v>
      </c>
      <c r="H82">
        <f t="shared" si="5"/>
        <v>21600000</v>
      </c>
      <c r="I82">
        <f t="shared" si="6"/>
        <v>1500000</v>
      </c>
      <c r="J82">
        <f t="shared" si="7"/>
        <v>2200000</v>
      </c>
      <c r="K82" s="2">
        <f t="shared" si="8"/>
        <v>6.9444444444444448E-2</v>
      </c>
      <c r="L82" t="str">
        <f t="shared" si="9"/>
        <v>Tier 2</v>
      </c>
    </row>
    <row r="83" spans="1:12" x14ac:dyDescent="0.35">
      <c r="A83" s="1" t="s">
        <v>285</v>
      </c>
      <c r="B83">
        <v>82</v>
      </c>
      <c r="C83" t="s">
        <v>69</v>
      </c>
      <c r="D83" t="s">
        <v>286</v>
      </c>
      <c r="E83" t="s">
        <v>42</v>
      </c>
      <c r="F83" t="s">
        <v>90</v>
      </c>
      <c r="G83" t="s">
        <v>155</v>
      </c>
      <c r="H83">
        <f t="shared" si="5"/>
        <v>29000000</v>
      </c>
      <c r="I83">
        <f t="shared" si="6"/>
        <v>1100000</v>
      </c>
      <c r="J83">
        <f t="shared" si="7"/>
        <v>1600000</v>
      </c>
      <c r="K83" s="2">
        <f t="shared" si="8"/>
        <v>3.793103448275862E-2</v>
      </c>
      <c r="L83" t="str">
        <f t="shared" si="9"/>
        <v>Tier 2</v>
      </c>
    </row>
    <row r="84" spans="1:12" x14ac:dyDescent="0.35">
      <c r="A84" s="1" t="s">
        <v>287</v>
      </c>
      <c r="B84">
        <v>83</v>
      </c>
      <c r="C84" t="s">
        <v>26</v>
      </c>
      <c r="D84" t="s">
        <v>288</v>
      </c>
      <c r="E84" t="s">
        <v>22</v>
      </c>
      <c r="F84" t="s">
        <v>289</v>
      </c>
      <c r="G84" t="s">
        <v>290</v>
      </c>
      <c r="H84">
        <f t="shared" si="5"/>
        <v>115100000</v>
      </c>
      <c r="I84">
        <f t="shared" si="6"/>
        <v>267000</v>
      </c>
      <c r="J84">
        <f t="shared" si="7"/>
        <v>414500</v>
      </c>
      <c r="K84" s="2">
        <f t="shared" si="8"/>
        <v>2.3197219808861859E-3</v>
      </c>
      <c r="L84" t="str">
        <f t="shared" si="9"/>
        <v>Tier 4</v>
      </c>
    </row>
    <row r="85" spans="1:12" x14ac:dyDescent="0.35">
      <c r="A85" s="1" t="s">
        <v>291</v>
      </c>
      <c r="B85">
        <v>84</v>
      </c>
      <c r="C85" t="s">
        <v>8</v>
      </c>
      <c r="D85" t="s">
        <v>292</v>
      </c>
      <c r="E85" t="s">
        <v>58</v>
      </c>
      <c r="F85" t="s">
        <v>293</v>
      </c>
      <c r="G85" t="s">
        <v>294</v>
      </c>
      <c r="H85">
        <f t="shared" si="5"/>
        <v>110000000</v>
      </c>
      <c r="I85">
        <f t="shared" si="6"/>
        <v>281600</v>
      </c>
      <c r="J85">
        <f t="shared" si="7"/>
        <v>424100</v>
      </c>
      <c r="K85" s="2">
        <f t="shared" si="8"/>
        <v>2.5600000000000002E-3</v>
      </c>
      <c r="L85" t="str">
        <f t="shared" si="9"/>
        <v>Tier 4</v>
      </c>
    </row>
    <row r="86" spans="1:12" x14ac:dyDescent="0.35">
      <c r="A86" s="1" t="s">
        <v>295</v>
      </c>
      <c r="B86">
        <v>85</v>
      </c>
      <c r="C86" t="s">
        <v>69</v>
      </c>
      <c r="D86" t="s">
        <v>296</v>
      </c>
      <c r="E86" t="s">
        <v>10</v>
      </c>
      <c r="F86" t="s">
        <v>47</v>
      </c>
      <c r="G86" t="s">
        <v>155</v>
      </c>
      <c r="H86">
        <f t="shared" si="5"/>
        <v>30000000</v>
      </c>
      <c r="I86">
        <f t="shared" si="6"/>
        <v>1200000</v>
      </c>
      <c r="J86">
        <f t="shared" si="7"/>
        <v>1600000</v>
      </c>
      <c r="K86" s="2">
        <f t="shared" si="8"/>
        <v>0.04</v>
      </c>
      <c r="L86" t="str">
        <f t="shared" si="9"/>
        <v>Tier 2</v>
      </c>
    </row>
    <row r="87" spans="1:12" x14ac:dyDescent="0.35">
      <c r="A87" s="1" t="s">
        <v>297</v>
      </c>
      <c r="B87">
        <v>86</v>
      </c>
      <c r="C87" t="s">
        <v>26</v>
      </c>
      <c r="D87" t="s">
        <v>298</v>
      </c>
      <c r="E87" t="s">
        <v>22</v>
      </c>
      <c r="F87" t="s">
        <v>299</v>
      </c>
      <c r="G87" t="s">
        <v>300</v>
      </c>
      <c r="H87">
        <f t="shared" si="5"/>
        <v>136300000</v>
      </c>
      <c r="I87">
        <f t="shared" si="6"/>
        <v>264500</v>
      </c>
      <c r="J87">
        <f t="shared" si="7"/>
        <v>338100</v>
      </c>
      <c r="K87" s="2">
        <f t="shared" si="8"/>
        <v>1.9405722670579604E-3</v>
      </c>
      <c r="L87" t="str">
        <f t="shared" si="9"/>
        <v>Tier 4</v>
      </c>
    </row>
    <row r="88" spans="1:12" x14ac:dyDescent="0.35">
      <c r="A88" s="1" t="s">
        <v>301</v>
      </c>
      <c r="B88">
        <v>87</v>
      </c>
      <c r="C88" t="s">
        <v>302</v>
      </c>
      <c r="D88" t="s">
        <v>303</v>
      </c>
      <c r="E88" t="s">
        <v>10</v>
      </c>
      <c r="F88" t="s">
        <v>47</v>
      </c>
      <c r="G88" t="s">
        <v>52</v>
      </c>
      <c r="H88">
        <f t="shared" si="5"/>
        <v>32299999.999999996</v>
      </c>
      <c r="I88">
        <f t="shared" si="6"/>
        <v>1200000</v>
      </c>
      <c r="J88">
        <f t="shared" si="7"/>
        <v>1400000</v>
      </c>
      <c r="K88" s="2">
        <f t="shared" si="8"/>
        <v>3.7151702786377715E-2</v>
      </c>
      <c r="L88" t="str">
        <f t="shared" si="9"/>
        <v>Tier 2</v>
      </c>
    </row>
    <row r="89" spans="1:12" x14ac:dyDescent="0.35">
      <c r="A89" s="1" t="s">
        <v>304</v>
      </c>
      <c r="B89">
        <v>88</v>
      </c>
      <c r="C89" t="s">
        <v>305</v>
      </c>
      <c r="D89" t="s">
        <v>306</v>
      </c>
      <c r="E89" t="s">
        <v>10</v>
      </c>
      <c r="F89" t="s">
        <v>307</v>
      </c>
      <c r="G89" t="s">
        <v>308</v>
      </c>
      <c r="H89">
        <f t="shared" si="5"/>
        <v>52100000</v>
      </c>
      <c r="I89">
        <f t="shared" si="6"/>
        <v>696000</v>
      </c>
      <c r="J89">
        <f t="shared" si="7"/>
        <v>855200</v>
      </c>
      <c r="K89" s="2">
        <f t="shared" si="8"/>
        <v>1.3358925143953935E-2</v>
      </c>
      <c r="L89" t="str">
        <f t="shared" si="9"/>
        <v>Tier 3</v>
      </c>
    </row>
    <row r="90" spans="1:12" x14ac:dyDescent="0.35">
      <c r="A90" s="1" t="s">
        <v>309</v>
      </c>
      <c r="B90">
        <v>89</v>
      </c>
      <c r="C90" t="s">
        <v>310</v>
      </c>
      <c r="D90" t="s">
        <v>311</v>
      </c>
      <c r="E90" t="s">
        <v>141</v>
      </c>
      <c r="F90" t="s">
        <v>171</v>
      </c>
      <c r="G90" t="s">
        <v>97</v>
      </c>
      <c r="H90">
        <f t="shared" si="5"/>
        <v>14400000</v>
      </c>
      <c r="I90">
        <f t="shared" si="6"/>
        <v>2200000</v>
      </c>
      <c r="J90">
        <f t="shared" si="7"/>
        <v>3100000</v>
      </c>
      <c r="K90" s="2">
        <f t="shared" si="8"/>
        <v>0.15277777777777779</v>
      </c>
      <c r="L90" t="str">
        <f t="shared" si="9"/>
        <v>Tier 2</v>
      </c>
    </row>
    <row r="91" spans="1:12" x14ac:dyDescent="0.35">
      <c r="A91" s="1" t="s">
        <v>312</v>
      </c>
      <c r="B91">
        <v>90</v>
      </c>
      <c r="C91" t="s">
        <v>313</v>
      </c>
      <c r="D91" t="s">
        <v>150</v>
      </c>
      <c r="E91" t="s">
        <v>22</v>
      </c>
      <c r="F91" t="s">
        <v>314</v>
      </c>
      <c r="G91" t="s">
        <v>315</v>
      </c>
      <c r="H91">
        <f t="shared" si="5"/>
        <v>53200000</v>
      </c>
      <c r="I91">
        <f t="shared" si="6"/>
        <v>499700</v>
      </c>
      <c r="J91">
        <f t="shared" si="7"/>
        <v>798400</v>
      </c>
      <c r="K91" s="2">
        <f t="shared" si="8"/>
        <v>9.392857142857142E-3</v>
      </c>
      <c r="L91" t="str">
        <f t="shared" si="9"/>
        <v>Tier 3</v>
      </c>
    </row>
    <row r="92" spans="1:12" x14ac:dyDescent="0.35">
      <c r="A92" s="1" t="s">
        <v>316</v>
      </c>
      <c r="B92">
        <v>91</v>
      </c>
      <c r="C92" t="s">
        <v>26</v>
      </c>
      <c r="D92" t="s">
        <v>317</v>
      </c>
      <c r="E92" t="s">
        <v>318</v>
      </c>
      <c r="F92" t="s">
        <v>47</v>
      </c>
      <c r="G92" t="s">
        <v>135</v>
      </c>
      <c r="H92">
        <f t="shared" si="5"/>
        <v>28900000</v>
      </c>
      <c r="I92">
        <f t="shared" si="6"/>
        <v>1200000</v>
      </c>
      <c r="J92">
        <f t="shared" si="7"/>
        <v>1500000</v>
      </c>
      <c r="K92" s="2">
        <f t="shared" si="8"/>
        <v>4.1522491349480967E-2</v>
      </c>
      <c r="L92" t="str">
        <f t="shared" si="9"/>
        <v>Tier 2</v>
      </c>
    </row>
    <row r="93" spans="1:12" x14ac:dyDescent="0.35">
      <c r="A93" s="1" t="s">
        <v>319</v>
      </c>
      <c r="B93">
        <v>92</v>
      </c>
      <c r="C93" t="s">
        <v>69</v>
      </c>
      <c r="D93" t="s">
        <v>320</v>
      </c>
      <c r="E93" t="s">
        <v>10</v>
      </c>
      <c r="F93" t="s">
        <v>321</v>
      </c>
      <c r="G93" t="s">
        <v>322</v>
      </c>
      <c r="H93">
        <f t="shared" si="5"/>
        <v>67800000</v>
      </c>
      <c r="I93">
        <f t="shared" si="6"/>
        <v>468700</v>
      </c>
      <c r="J93">
        <f t="shared" si="7"/>
        <v>611000</v>
      </c>
      <c r="K93" s="2">
        <f t="shared" si="8"/>
        <v>6.9129793510324484E-3</v>
      </c>
      <c r="L93" t="str">
        <f t="shared" si="9"/>
        <v>Tier 3</v>
      </c>
    </row>
    <row r="94" spans="1:12" x14ac:dyDescent="0.35">
      <c r="A94" s="1" t="s">
        <v>323</v>
      </c>
      <c r="B94">
        <v>93</v>
      </c>
      <c r="C94" t="s">
        <v>26</v>
      </c>
      <c r="D94" t="s">
        <v>324</v>
      </c>
      <c r="E94" t="s">
        <v>141</v>
      </c>
      <c r="F94" t="s">
        <v>325</v>
      </c>
      <c r="G94" t="s">
        <v>47</v>
      </c>
      <c r="H94">
        <f t="shared" si="5"/>
        <v>34500000</v>
      </c>
      <c r="I94">
        <f t="shared" si="6"/>
        <v>828300</v>
      </c>
      <c r="J94">
        <f t="shared" si="7"/>
        <v>1200000</v>
      </c>
      <c r="K94" s="2">
        <f t="shared" si="8"/>
        <v>2.4008695652173912E-2</v>
      </c>
      <c r="L94" t="str">
        <f t="shared" si="9"/>
        <v>Tier 2</v>
      </c>
    </row>
    <row r="95" spans="1:12" x14ac:dyDescent="0.35">
      <c r="A95" s="1" t="s">
        <v>326</v>
      </c>
      <c r="B95">
        <v>94</v>
      </c>
      <c r="C95" t="s">
        <v>26</v>
      </c>
      <c r="D95" t="s">
        <v>269</v>
      </c>
      <c r="E95" t="s">
        <v>58</v>
      </c>
      <c r="F95" t="s">
        <v>327</v>
      </c>
      <c r="G95" t="s">
        <v>328</v>
      </c>
      <c r="H95">
        <f t="shared" si="5"/>
        <v>47700000</v>
      </c>
      <c r="I95">
        <f t="shared" si="6"/>
        <v>700100</v>
      </c>
      <c r="J95">
        <f t="shared" si="7"/>
        <v>853000</v>
      </c>
      <c r="K95" s="2">
        <f t="shared" si="8"/>
        <v>1.4677148846960168E-2</v>
      </c>
      <c r="L95" t="str">
        <f t="shared" si="9"/>
        <v>Tier 2</v>
      </c>
    </row>
    <row r="96" spans="1:12" x14ac:dyDescent="0.35">
      <c r="A96" s="1" t="s">
        <v>329</v>
      </c>
      <c r="B96">
        <v>95</v>
      </c>
      <c r="C96" t="s">
        <v>330</v>
      </c>
      <c r="D96" t="s">
        <v>331</v>
      </c>
      <c r="E96" t="s">
        <v>22</v>
      </c>
      <c r="F96" t="s">
        <v>332</v>
      </c>
      <c r="G96" t="s">
        <v>333</v>
      </c>
      <c r="H96">
        <f t="shared" si="5"/>
        <v>45900000</v>
      </c>
      <c r="I96">
        <f t="shared" si="6"/>
        <v>655900</v>
      </c>
      <c r="J96">
        <f t="shared" si="7"/>
        <v>880400</v>
      </c>
      <c r="K96" s="2">
        <f t="shared" si="8"/>
        <v>1.4289760348583877E-2</v>
      </c>
      <c r="L96" t="str">
        <f t="shared" si="9"/>
        <v>Tier 2</v>
      </c>
    </row>
    <row r="97" spans="1:12" x14ac:dyDescent="0.35">
      <c r="A97" s="1" t="s">
        <v>334</v>
      </c>
      <c r="B97">
        <v>96</v>
      </c>
      <c r="C97" t="s">
        <v>8</v>
      </c>
      <c r="D97" t="s">
        <v>335</v>
      </c>
      <c r="E97" t="s">
        <v>211</v>
      </c>
      <c r="F97" t="s">
        <v>336</v>
      </c>
      <c r="G97" t="s">
        <v>337</v>
      </c>
      <c r="H97">
        <f t="shared" si="5"/>
        <v>55900000</v>
      </c>
      <c r="I97">
        <f t="shared" si="6"/>
        <v>502400</v>
      </c>
      <c r="J97">
        <f t="shared" si="7"/>
        <v>724000</v>
      </c>
      <c r="K97" s="2">
        <f t="shared" si="8"/>
        <v>8.9874776386404294E-3</v>
      </c>
      <c r="L97" t="str">
        <f t="shared" si="9"/>
        <v>Tier 3</v>
      </c>
    </row>
    <row r="98" spans="1:12" x14ac:dyDescent="0.35">
      <c r="A98" s="1" t="s">
        <v>338</v>
      </c>
      <c r="B98">
        <v>97</v>
      </c>
      <c r="C98" t="s">
        <v>69</v>
      </c>
      <c r="D98" t="s">
        <v>339</v>
      </c>
      <c r="E98" t="s">
        <v>22</v>
      </c>
      <c r="F98" t="s">
        <v>340</v>
      </c>
      <c r="G98" t="s">
        <v>341</v>
      </c>
      <c r="H98">
        <f t="shared" si="5"/>
        <v>53900000</v>
      </c>
      <c r="I98">
        <f t="shared" si="6"/>
        <v>514900</v>
      </c>
      <c r="J98">
        <f t="shared" si="7"/>
        <v>747100</v>
      </c>
      <c r="K98" s="2">
        <f t="shared" si="8"/>
        <v>9.5528756957328383E-3</v>
      </c>
      <c r="L98" t="str">
        <f t="shared" si="9"/>
        <v>Tier 3</v>
      </c>
    </row>
    <row r="99" spans="1:12" x14ac:dyDescent="0.35">
      <c r="A99" s="1" t="s">
        <v>342</v>
      </c>
      <c r="B99">
        <v>98</v>
      </c>
      <c r="C99" t="s">
        <v>343</v>
      </c>
      <c r="D99" t="s">
        <v>344</v>
      </c>
      <c r="E99" t="s">
        <v>16</v>
      </c>
      <c r="F99" t="s">
        <v>47</v>
      </c>
      <c r="G99" t="s">
        <v>198</v>
      </c>
      <c r="H99">
        <f t="shared" si="5"/>
        <v>20000000</v>
      </c>
      <c r="I99">
        <f t="shared" si="6"/>
        <v>1200000</v>
      </c>
      <c r="J99">
        <f t="shared" si="7"/>
        <v>2000000</v>
      </c>
      <c r="K99" s="2">
        <f t="shared" si="8"/>
        <v>0.06</v>
      </c>
      <c r="L99" t="str">
        <f t="shared" si="9"/>
        <v>Tier 2</v>
      </c>
    </row>
    <row r="100" spans="1:12" x14ac:dyDescent="0.35">
      <c r="A100" s="1" t="s">
        <v>345</v>
      </c>
      <c r="B100">
        <v>99</v>
      </c>
      <c r="C100" t="s">
        <v>26</v>
      </c>
      <c r="D100" t="s">
        <v>346</v>
      </c>
      <c r="E100" t="s">
        <v>58</v>
      </c>
      <c r="F100" t="s">
        <v>135</v>
      </c>
      <c r="G100" t="s">
        <v>100</v>
      </c>
      <c r="H100">
        <f t="shared" si="5"/>
        <v>21900000</v>
      </c>
      <c r="I100">
        <f t="shared" si="6"/>
        <v>1500000</v>
      </c>
      <c r="J100">
        <f t="shared" si="7"/>
        <v>1800000</v>
      </c>
      <c r="K100" s="2">
        <f t="shared" si="8"/>
        <v>6.8493150684931503E-2</v>
      </c>
      <c r="L100" t="str">
        <f t="shared" si="9"/>
        <v>Tier 2</v>
      </c>
    </row>
    <row r="101" spans="1:12" x14ac:dyDescent="0.35">
      <c r="A101" s="1" t="s">
        <v>347</v>
      </c>
      <c r="B101">
        <v>100</v>
      </c>
      <c r="C101" t="s">
        <v>348</v>
      </c>
      <c r="D101" t="s">
        <v>102</v>
      </c>
      <c r="E101" t="s">
        <v>10</v>
      </c>
      <c r="F101" t="s">
        <v>349</v>
      </c>
      <c r="G101" t="s">
        <v>350</v>
      </c>
      <c r="H101">
        <f t="shared" si="5"/>
        <v>78600000</v>
      </c>
      <c r="I101">
        <f t="shared" si="6"/>
        <v>412200</v>
      </c>
      <c r="J101">
        <f t="shared" si="7"/>
        <v>496700</v>
      </c>
      <c r="K101" s="2">
        <f t="shared" si="8"/>
        <v>5.2442748091603058E-3</v>
      </c>
      <c r="L101" t="str">
        <f t="shared" si="9"/>
        <v>Tier 3</v>
      </c>
    </row>
    <row r="102" spans="1:12" x14ac:dyDescent="0.35">
      <c r="A102" s="1" t="s">
        <v>351</v>
      </c>
      <c r="B102">
        <v>102</v>
      </c>
      <c r="C102" t="s">
        <v>26</v>
      </c>
      <c r="D102" t="s">
        <v>352</v>
      </c>
      <c r="E102" t="s">
        <v>10</v>
      </c>
      <c r="F102" t="s">
        <v>43</v>
      </c>
      <c r="G102" t="s">
        <v>353</v>
      </c>
      <c r="H102">
        <f t="shared" si="5"/>
        <v>9600000</v>
      </c>
      <c r="I102">
        <f t="shared" si="6"/>
        <v>3200000</v>
      </c>
      <c r="J102">
        <f t="shared" si="7"/>
        <v>4099999.9999999995</v>
      </c>
      <c r="K102" s="2">
        <f t="shared" si="8"/>
        <v>0.33333333333333331</v>
      </c>
      <c r="L102" t="str">
        <f t="shared" si="9"/>
        <v>Tier 1</v>
      </c>
    </row>
    <row r="103" spans="1:12" x14ac:dyDescent="0.35">
      <c r="A103" s="1" t="s">
        <v>354</v>
      </c>
      <c r="B103">
        <v>103</v>
      </c>
      <c r="C103" t="s">
        <v>69</v>
      </c>
      <c r="D103" t="s">
        <v>355</v>
      </c>
      <c r="E103" t="s">
        <v>22</v>
      </c>
      <c r="F103" t="s">
        <v>48</v>
      </c>
      <c r="G103" t="s">
        <v>221</v>
      </c>
      <c r="H103">
        <f t="shared" si="5"/>
        <v>17000000</v>
      </c>
      <c r="I103">
        <f t="shared" si="6"/>
        <v>1900000</v>
      </c>
      <c r="J103">
        <f t="shared" si="7"/>
        <v>2300000</v>
      </c>
      <c r="K103" s="2">
        <f t="shared" si="8"/>
        <v>0.11176470588235295</v>
      </c>
      <c r="L103" t="str">
        <f t="shared" si="9"/>
        <v>Tier 2</v>
      </c>
    </row>
    <row r="104" spans="1:12" x14ac:dyDescent="0.35">
      <c r="A104" s="1" t="s">
        <v>356</v>
      </c>
      <c r="B104">
        <v>104</v>
      </c>
      <c r="C104" t="s">
        <v>357</v>
      </c>
      <c r="D104" t="s">
        <v>358</v>
      </c>
      <c r="E104" t="s">
        <v>58</v>
      </c>
      <c r="F104" t="s">
        <v>47</v>
      </c>
      <c r="G104" t="s">
        <v>135</v>
      </c>
      <c r="H104">
        <f t="shared" si="5"/>
        <v>26100000</v>
      </c>
      <c r="I104">
        <f t="shared" si="6"/>
        <v>1200000</v>
      </c>
      <c r="J104">
        <f t="shared" si="7"/>
        <v>1500000</v>
      </c>
      <c r="K104" s="2">
        <f t="shared" si="8"/>
        <v>4.5977011494252873E-2</v>
      </c>
      <c r="L104" t="str">
        <f t="shared" si="9"/>
        <v>Tier 2</v>
      </c>
    </row>
    <row r="105" spans="1:12" x14ac:dyDescent="0.35">
      <c r="A105" s="1" t="s">
        <v>359</v>
      </c>
      <c r="B105">
        <v>105</v>
      </c>
      <c r="C105" t="s">
        <v>69</v>
      </c>
      <c r="D105" t="s">
        <v>360</v>
      </c>
      <c r="E105" t="s">
        <v>10</v>
      </c>
      <c r="F105" t="s">
        <v>361</v>
      </c>
      <c r="G105" t="s">
        <v>362</v>
      </c>
      <c r="H105">
        <f t="shared" si="5"/>
        <v>80200000</v>
      </c>
      <c r="I105">
        <f t="shared" si="6"/>
        <v>390300</v>
      </c>
      <c r="J105">
        <f t="shared" si="7"/>
        <v>471900</v>
      </c>
      <c r="K105" s="2">
        <f t="shared" si="8"/>
        <v>4.8665835411471322E-3</v>
      </c>
      <c r="L105" t="str">
        <f t="shared" si="9"/>
        <v>Tier 3</v>
      </c>
    </row>
    <row r="106" spans="1:12" x14ac:dyDescent="0.35">
      <c r="A106" s="1" t="s">
        <v>363</v>
      </c>
      <c r="B106">
        <v>106</v>
      </c>
      <c r="C106" t="s">
        <v>364</v>
      </c>
      <c r="D106" t="s">
        <v>365</v>
      </c>
      <c r="E106" t="s">
        <v>42</v>
      </c>
      <c r="F106" t="s">
        <v>90</v>
      </c>
      <c r="G106" t="s">
        <v>155</v>
      </c>
      <c r="H106">
        <f t="shared" si="5"/>
        <v>24100000</v>
      </c>
      <c r="I106">
        <f t="shared" si="6"/>
        <v>1100000</v>
      </c>
      <c r="J106">
        <f t="shared" si="7"/>
        <v>1600000</v>
      </c>
      <c r="K106" s="2">
        <f t="shared" si="8"/>
        <v>4.5643153526970952E-2</v>
      </c>
      <c r="L106" t="str">
        <f t="shared" si="9"/>
        <v>Tier 2</v>
      </c>
    </row>
    <row r="107" spans="1:12" x14ac:dyDescent="0.35">
      <c r="A107" s="1" t="s">
        <v>366</v>
      </c>
      <c r="B107">
        <v>107</v>
      </c>
      <c r="C107" t="s">
        <v>69</v>
      </c>
      <c r="D107" t="s">
        <v>367</v>
      </c>
      <c r="E107" t="s">
        <v>42</v>
      </c>
      <c r="F107" t="s">
        <v>368</v>
      </c>
      <c r="G107" t="s">
        <v>369</v>
      </c>
      <c r="H107">
        <f t="shared" si="5"/>
        <v>40700000</v>
      </c>
      <c r="I107">
        <f t="shared" si="6"/>
        <v>628000</v>
      </c>
      <c r="J107">
        <f t="shared" si="7"/>
        <v>911900</v>
      </c>
      <c r="K107" s="2">
        <f t="shared" si="8"/>
        <v>1.5429975429975431E-2</v>
      </c>
      <c r="L107" t="str">
        <f t="shared" si="9"/>
        <v>Tier 2</v>
      </c>
    </row>
    <row r="108" spans="1:12" x14ac:dyDescent="0.35">
      <c r="A108" s="1" t="s">
        <v>370</v>
      </c>
      <c r="B108">
        <v>108</v>
      </c>
      <c r="C108" t="s">
        <v>69</v>
      </c>
      <c r="D108" t="s">
        <v>371</v>
      </c>
      <c r="E108" t="s">
        <v>114</v>
      </c>
      <c r="F108" t="s">
        <v>171</v>
      </c>
      <c r="G108" t="s">
        <v>196</v>
      </c>
      <c r="H108">
        <f t="shared" si="5"/>
        <v>14300000</v>
      </c>
      <c r="I108">
        <f t="shared" si="6"/>
        <v>2200000</v>
      </c>
      <c r="J108">
        <f t="shared" si="7"/>
        <v>2600000</v>
      </c>
      <c r="K108" s="2">
        <f t="shared" si="8"/>
        <v>0.15384615384615385</v>
      </c>
      <c r="L108" t="str">
        <f t="shared" si="9"/>
        <v>Tier 2</v>
      </c>
    </row>
    <row r="109" spans="1:12" x14ac:dyDescent="0.35">
      <c r="A109" s="1" t="s">
        <v>372</v>
      </c>
      <c r="B109">
        <v>109</v>
      </c>
      <c r="C109" t="s">
        <v>180</v>
      </c>
      <c r="D109" t="s">
        <v>373</v>
      </c>
      <c r="E109" t="s">
        <v>22</v>
      </c>
      <c r="F109" t="s">
        <v>374</v>
      </c>
      <c r="G109" t="s">
        <v>375</v>
      </c>
      <c r="H109">
        <f t="shared" si="5"/>
        <v>40400000</v>
      </c>
      <c r="I109">
        <f t="shared" si="6"/>
        <v>579200</v>
      </c>
      <c r="J109">
        <f t="shared" si="7"/>
        <v>892300</v>
      </c>
      <c r="K109" s="2">
        <f t="shared" si="8"/>
        <v>1.4336633663366337E-2</v>
      </c>
      <c r="L109" t="str">
        <f t="shared" si="9"/>
        <v>Tier 2</v>
      </c>
    </row>
    <row r="110" spans="1:12" x14ac:dyDescent="0.35">
      <c r="A110" s="1" t="s">
        <v>376</v>
      </c>
      <c r="B110">
        <v>110</v>
      </c>
      <c r="C110" t="s">
        <v>377</v>
      </c>
      <c r="D110" t="s">
        <v>378</v>
      </c>
      <c r="E110" t="s">
        <v>22</v>
      </c>
      <c r="F110" t="s">
        <v>379</v>
      </c>
      <c r="G110" t="s">
        <v>380</v>
      </c>
      <c r="H110">
        <f t="shared" si="5"/>
        <v>227600000</v>
      </c>
      <c r="I110">
        <f t="shared" si="6"/>
        <v>123500</v>
      </c>
      <c r="J110">
        <f t="shared" si="7"/>
        <v>158400</v>
      </c>
      <c r="K110" s="2">
        <f t="shared" si="8"/>
        <v>5.4261862917398941E-4</v>
      </c>
      <c r="L110" t="str">
        <f t="shared" si="9"/>
        <v>Tier 4</v>
      </c>
    </row>
    <row r="111" spans="1:12" x14ac:dyDescent="0.35">
      <c r="A111" s="1" t="s">
        <v>381</v>
      </c>
      <c r="B111">
        <v>111</v>
      </c>
      <c r="C111" t="s">
        <v>157</v>
      </c>
      <c r="D111" t="s">
        <v>382</v>
      </c>
      <c r="E111" t="s">
        <v>42</v>
      </c>
      <c r="F111" t="s">
        <v>90</v>
      </c>
      <c r="G111" t="s">
        <v>52</v>
      </c>
      <c r="H111">
        <f t="shared" si="5"/>
        <v>24600000</v>
      </c>
      <c r="I111">
        <f t="shared" si="6"/>
        <v>1100000</v>
      </c>
      <c r="J111">
        <f t="shared" si="7"/>
        <v>1400000</v>
      </c>
      <c r="K111" s="2">
        <f t="shared" si="8"/>
        <v>4.4715447154471545E-2</v>
      </c>
      <c r="L111" t="str">
        <f t="shared" si="9"/>
        <v>Tier 2</v>
      </c>
    </row>
    <row r="112" spans="1:12" x14ac:dyDescent="0.35">
      <c r="A112" s="1" t="s">
        <v>383</v>
      </c>
      <c r="B112">
        <v>112</v>
      </c>
      <c r="C112" t="s">
        <v>384</v>
      </c>
      <c r="D112" t="s">
        <v>241</v>
      </c>
      <c r="E112" t="s">
        <v>10</v>
      </c>
      <c r="F112" t="s">
        <v>47</v>
      </c>
      <c r="G112" t="s">
        <v>52</v>
      </c>
      <c r="H112">
        <f t="shared" si="5"/>
        <v>24200000</v>
      </c>
      <c r="I112">
        <f t="shared" si="6"/>
        <v>1200000</v>
      </c>
      <c r="J112">
        <f t="shared" si="7"/>
        <v>1400000</v>
      </c>
      <c r="K112" s="2">
        <f t="shared" si="8"/>
        <v>4.9586776859504134E-2</v>
      </c>
      <c r="L112" t="str">
        <f t="shared" si="9"/>
        <v>Tier 2</v>
      </c>
    </row>
    <row r="113" spans="1:12" x14ac:dyDescent="0.35">
      <c r="A113" s="1" t="s">
        <v>385</v>
      </c>
      <c r="B113">
        <v>113</v>
      </c>
      <c r="C113" t="s">
        <v>69</v>
      </c>
      <c r="D113" t="s">
        <v>386</v>
      </c>
      <c r="E113" t="s">
        <v>195</v>
      </c>
      <c r="F113" t="s">
        <v>387</v>
      </c>
      <c r="G113" t="s">
        <v>52</v>
      </c>
      <c r="H113">
        <f t="shared" si="5"/>
        <v>25400000</v>
      </c>
      <c r="I113">
        <f t="shared" si="6"/>
        <v>965600</v>
      </c>
      <c r="J113">
        <f t="shared" si="7"/>
        <v>1400000</v>
      </c>
      <c r="K113" s="2">
        <f t="shared" si="8"/>
        <v>3.8015748031496065E-2</v>
      </c>
      <c r="L113" t="str">
        <f t="shared" si="9"/>
        <v>Tier 2</v>
      </c>
    </row>
    <row r="114" spans="1:12" x14ac:dyDescent="0.35">
      <c r="A114" s="1" t="s">
        <v>388</v>
      </c>
      <c r="B114">
        <v>114</v>
      </c>
      <c r="C114" t="s">
        <v>389</v>
      </c>
      <c r="D114" t="s">
        <v>390</v>
      </c>
      <c r="E114" t="s">
        <v>10</v>
      </c>
      <c r="F114" t="s">
        <v>391</v>
      </c>
      <c r="G114" t="s">
        <v>47</v>
      </c>
      <c r="H114">
        <f t="shared" si="5"/>
        <v>27800000</v>
      </c>
      <c r="I114">
        <f t="shared" si="6"/>
        <v>769700</v>
      </c>
      <c r="J114">
        <f t="shared" si="7"/>
        <v>1200000</v>
      </c>
      <c r="K114" s="2">
        <f t="shared" si="8"/>
        <v>2.768705035971223E-2</v>
      </c>
      <c r="L114" t="str">
        <f t="shared" si="9"/>
        <v>Tier 2</v>
      </c>
    </row>
    <row r="115" spans="1:12" x14ac:dyDescent="0.35">
      <c r="A115" s="1" t="s">
        <v>392</v>
      </c>
      <c r="B115">
        <v>115</v>
      </c>
      <c r="C115" t="s">
        <v>69</v>
      </c>
      <c r="D115" t="s">
        <v>393</v>
      </c>
      <c r="E115" t="s">
        <v>10</v>
      </c>
      <c r="F115" t="s">
        <v>394</v>
      </c>
      <c r="G115" t="s">
        <v>395</v>
      </c>
      <c r="H115">
        <f t="shared" si="5"/>
        <v>43300000</v>
      </c>
      <c r="I115">
        <f t="shared" si="6"/>
        <v>635300</v>
      </c>
      <c r="J115">
        <f t="shared" si="7"/>
        <v>772100</v>
      </c>
      <c r="K115" s="2">
        <f t="shared" si="8"/>
        <v>1.4672055427251732E-2</v>
      </c>
      <c r="L115" t="str">
        <f t="shared" si="9"/>
        <v>Tier 2</v>
      </c>
    </row>
    <row r="116" spans="1:12" x14ac:dyDescent="0.35">
      <c r="A116" s="1" t="s">
        <v>396</v>
      </c>
      <c r="B116">
        <v>116</v>
      </c>
      <c r="C116" t="s">
        <v>26</v>
      </c>
      <c r="D116" t="s">
        <v>397</v>
      </c>
      <c r="E116" t="s">
        <v>42</v>
      </c>
      <c r="F116" t="s">
        <v>398</v>
      </c>
      <c r="G116" t="s">
        <v>399</v>
      </c>
      <c r="H116">
        <f t="shared" si="5"/>
        <v>167200000</v>
      </c>
      <c r="I116">
        <f t="shared" si="6"/>
        <v>156300</v>
      </c>
      <c r="J116">
        <f t="shared" si="7"/>
        <v>200400</v>
      </c>
      <c r="K116" s="2">
        <f t="shared" si="8"/>
        <v>9.3480861244019141E-4</v>
      </c>
      <c r="L116" t="str">
        <f t="shared" si="9"/>
        <v>Tier 4</v>
      </c>
    </row>
    <row r="117" spans="1:12" x14ac:dyDescent="0.35">
      <c r="A117" s="1" t="s">
        <v>400</v>
      </c>
      <c r="B117">
        <v>117</v>
      </c>
      <c r="C117" t="s">
        <v>69</v>
      </c>
      <c r="D117" t="s">
        <v>401</v>
      </c>
      <c r="E117" t="s">
        <v>22</v>
      </c>
      <c r="F117" t="s">
        <v>402</v>
      </c>
      <c r="G117" t="s">
        <v>155</v>
      </c>
      <c r="H117">
        <f t="shared" si="5"/>
        <v>20400000</v>
      </c>
      <c r="I117">
        <f t="shared" si="6"/>
        <v>973900</v>
      </c>
      <c r="J117">
        <f t="shared" si="7"/>
        <v>1600000</v>
      </c>
      <c r="K117" s="2">
        <f t="shared" si="8"/>
        <v>4.7740196078431371E-2</v>
      </c>
      <c r="L117" t="str">
        <f t="shared" si="9"/>
        <v>Tier 2</v>
      </c>
    </row>
    <row r="118" spans="1:12" x14ac:dyDescent="0.35">
      <c r="A118" s="1" t="s">
        <v>403</v>
      </c>
      <c r="B118">
        <v>118</v>
      </c>
      <c r="C118" t="s">
        <v>69</v>
      </c>
      <c r="D118" t="s">
        <v>404</v>
      </c>
      <c r="E118" t="s">
        <v>42</v>
      </c>
      <c r="F118" t="s">
        <v>405</v>
      </c>
      <c r="G118" t="s">
        <v>406</v>
      </c>
      <c r="H118">
        <f t="shared" si="5"/>
        <v>81700000</v>
      </c>
      <c r="I118">
        <f t="shared" si="6"/>
        <v>309800</v>
      </c>
      <c r="J118">
        <f t="shared" si="7"/>
        <v>403900</v>
      </c>
      <c r="K118" s="2">
        <f t="shared" si="8"/>
        <v>3.7919216646266829E-3</v>
      </c>
      <c r="L118" t="str">
        <f t="shared" si="9"/>
        <v>Tier 3</v>
      </c>
    </row>
    <row r="119" spans="1:12" x14ac:dyDescent="0.35">
      <c r="A119" s="1" t="s">
        <v>407</v>
      </c>
      <c r="B119">
        <v>119</v>
      </c>
      <c r="C119" t="s">
        <v>408</v>
      </c>
      <c r="D119" t="s">
        <v>409</v>
      </c>
      <c r="E119" t="s">
        <v>10</v>
      </c>
      <c r="F119" t="s">
        <v>410</v>
      </c>
      <c r="G119" t="s">
        <v>411</v>
      </c>
      <c r="H119">
        <f t="shared" si="5"/>
        <v>42000000</v>
      </c>
      <c r="I119">
        <f t="shared" si="6"/>
        <v>683800</v>
      </c>
      <c r="J119">
        <f t="shared" si="7"/>
        <v>780700</v>
      </c>
      <c r="K119" s="2">
        <f t="shared" si="8"/>
        <v>1.6280952380952382E-2</v>
      </c>
      <c r="L119" t="str">
        <f t="shared" si="9"/>
        <v>Tier 2</v>
      </c>
    </row>
    <row r="120" spans="1:12" x14ac:dyDescent="0.35">
      <c r="A120" s="1" t="s">
        <v>412</v>
      </c>
      <c r="B120">
        <v>120</v>
      </c>
      <c r="C120" t="s">
        <v>69</v>
      </c>
      <c r="D120" t="s">
        <v>220</v>
      </c>
      <c r="E120" t="s">
        <v>42</v>
      </c>
      <c r="F120" t="s">
        <v>413</v>
      </c>
      <c r="G120" t="s">
        <v>47</v>
      </c>
      <c r="H120">
        <f t="shared" si="5"/>
        <v>27100000</v>
      </c>
      <c r="I120">
        <f t="shared" si="6"/>
        <v>861500</v>
      </c>
      <c r="J120">
        <f t="shared" si="7"/>
        <v>1200000</v>
      </c>
      <c r="K120" s="2">
        <f t="shared" si="8"/>
        <v>3.1789667896678968E-2</v>
      </c>
      <c r="L120" t="str">
        <f t="shared" si="9"/>
        <v>Tier 2</v>
      </c>
    </row>
    <row r="121" spans="1:12" x14ac:dyDescent="0.35">
      <c r="A121" s="1" t="s">
        <v>414</v>
      </c>
      <c r="B121">
        <v>121</v>
      </c>
      <c r="C121" t="s">
        <v>69</v>
      </c>
      <c r="D121" t="s">
        <v>415</v>
      </c>
      <c r="E121" t="s">
        <v>10</v>
      </c>
      <c r="F121" t="s">
        <v>416</v>
      </c>
      <c r="G121" t="s">
        <v>417</v>
      </c>
      <c r="H121">
        <f t="shared" si="5"/>
        <v>62600000</v>
      </c>
      <c r="I121">
        <f t="shared" si="6"/>
        <v>428100</v>
      </c>
      <c r="J121">
        <f t="shared" si="7"/>
        <v>511500</v>
      </c>
      <c r="K121" s="2">
        <f t="shared" si="8"/>
        <v>6.8386581469648561E-3</v>
      </c>
      <c r="L121" t="str">
        <f t="shared" si="9"/>
        <v>Tier 3</v>
      </c>
    </row>
    <row r="122" spans="1:12" x14ac:dyDescent="0.35">
      <c r="A122" s="1" t="s">
        <v>418</v>
      </c>
      <c r="B122">
        <v>122</v>
      </c>
      <c r="C122" t="s">
        <v>26</v>
      </c>
      <c r="D122" t="s">
        <v>419</v>
      </c>
      <c r="E122" t="s">
        <v>22</v>
      </c>
      <c r="F122" t="s">
        <v>420</v>
      </c>
      <c r="G122" t="s">
        <v>421</v>
      </c>
      <c r="H122">
        <f t="shared" si="5"/>
        <v>35400000</v>
      </c>
      <c r="I122">
        <f t="shared" si="6"/>
        <v>604100</v>
      </c>
      <c r="J122">
        <f t="shared" si="7"/>
        <v>904100</v>
      </c>
      <c r="K122" s="2">
        <f t="shared" si="8"/>
        <v>1.7064971751412431E-2</v>
      </c>
      <c r="L122" t="str">
        <f t="shared" si="9"/>
        <v>Tier 2</v>
      </c>
    </row>
    <row r="123" spans="1:12" x14ac:dyDescent="0.35">
      <c r="A123" s="1" t="s">
        <v>422</v>
      </c>
      <c r="B123">
        <v>123</v>
      </c>
      <c r="C123" t="s">
        <v>26</v>
      </c>
      <c r="D123" t="s">
        <v>423</v>
      </c>
      <c r="E123" t="s">
        <v>58</v>
      </c>
      <c r="F123" t="s">
        <v>67</v>
      </c>
      <c r="G123" t="s">
        <v>145</v>
      </c>
      <c r="H123">
        <f t="shared" si="5"/>
        <v>12100000</v>
      </c>
      <c r="I123">
        <f t="shared" si="6"/>
        <v>2100000</v>
      </c>
      <c r="J123">
        <f t="shared" si="7"/>
        <v>2700000</v>
      </c>
      <c r="K123" s="2">
        <f t="shared" si="8"/>
        <v>0.17355371900826447</v>
      </c>
      <c r="L123" t="str">
        <f t="shared" si="9"/>
        <v>Tier 2</v>
      </c>
    </row>
    <row r="124" spans="1:12" x14ac:dyDescent="0.35">
      <c r="A124" s="1" t="s">
        <v>424</v>
      </c>
      <c r="B124">
        <v>124</v>
      </c>
      <c r="C124" t="s">
        <v>157</v>
      </c>
      <c r="D124" t="s">
        <v>425</v>
      </c>
      <c r="E124" t="s">
        <v>22</v>
      </c>
      <c r="F124" t="s">
        <v>426</v>
      </c>
      <c r="G124" t="s">
        <v>427</v>
      </c>
      <c r="H124">
        <f t="shared" si="5"/>
        <v>53100000</v>
      </c>
      <c r="I124">
        <f t="shared" si="6"/>
        <v>426500</v>
      </c>
      <c r="J124">
        <f t="shared" si="7"/>
        <v>598800</v>
      </c>
      <c r="K124" s="2">
        <f t="shared" si="8"/>
        <v>8.0320150659133702E-3</v>
      </c>
      <c r="L124" t="str">
        <f t="shared" si="9"/>
        <v>Tier 3</v>
      </c>
    </row>
    <row r="125" spans="1:12" x14ac:dyDescent="0.35">
      <c r="A125" s="1" t="s">
        <v>428</v>
      </c>
      <c r="B125">
        <v>125</v>
      </c>
      <c r="C125" t="s">
        <v>313</v>
      </c>
      <c r="D125" t="s">
        <v>429</v>
      </c>
      <c r="E125" t="s">
        <v>10</v>
      </c>
      <c r="F125" t="s">
        <v>430</v>
      </c>
      <c r="G125" t="s">
        <v>431</v>
      </c>
      <c r="H125">
        <f t="shared" si="5"/>
        <v>49700000</v>
      </c>
      <c r="I125">
        <f t="shared" si="6"/>
        <v>538600</v>
      </c>
      <c r="J125">
        <f t="shared" si="7"/>
        <v>626900</v>
      </c>
      <c r="K125" s="2">
        <f t="shared" si="8"/>
        <v>1.083702213279678E-2</v>
      </c>
      <c r="L125" t="str">
        <f t="shared" si="9"/>
        <v>Tier 2</v>
      </c>
    </row>
    <row r="126" spans="1:12" x14ac:dyDescent="0.35">
      <c r="A126" s="1" t="s">
        <v>432</v>
      </c>
      <c r="B126">
        <v>126</v>
      </c>
      <c r="C126" t="s">
        <v>76</v>
      </c>
      <c r="D126" t="s">
        <v>433</v>
      </c>
      <c r="E126" t="s">
        <v>114</v>
      </c>
      <c r="F126" t="s">
        <v>434</v>
      </c>
      <c r="G126" t="s">
        <v>86</v>
      </c>
      <c r="H126">
        <f t="shared" si="5"/>
        <v>23400000</v>
      </c>
      <c r="I126">
        <f t="shared" si="6"/>
        <v>1000000</v>
      </c>
      <c r="J126">
        <f t="shared" si="7"/>
        <v>1300000</v>
      </c>
      <c r="K126" s="2">
        <f t="shared" si="8"/>
        <v>4.2735042735042736E-2</v>
      </c>
      <c r="L126" t="str">
        <f t="shared" si="9"/>
        <v>Tier 2</v>
      </c>
    </row>
    <row r="127" spans="1:12" x14ac:dyDescent="0.35">
      <c r="A127" s="1" t="s">
        <v>435</v>
      </c>
      <c r="B127">
        <v>127</v>
      </c>
      <c r="C127" t="s">
        <v>436</v>
      </c>
      <c r="D127" t="s">
        <v>437</v>
      </c>
      <c r="E127" t="s">
        <v>22</v>
      </c>
      <c r="F127" t="s">
        <v>47</v>
      </c>
      <c r="G127" t="s">
        <v>155</v>
      </c>
      <c r="H127">
        <f t="shared" si="5"/>
        <v>19000000</v>
      </c>
      <c r="I127">
        <f t="shared" si="6"/>
        <v>1200000</v>
      </c>
      <c r="J127">
        <f t="shared" si="7"/>
        <v>1600000</v>
      </c>
      <c r="K127" s="2">
        <f t="shared" si="8"/>
        <v>6.3157894736842107E-2</v>
      </c>
      <c r="L127" t="str">
        <f t="shared" si="9"/>
        <v>Tier 2</v>
      </c>
    </row>
    <row r="128" spans="1:12" x14ac:dyDescent="0.35">
      <c r="A128" s="1" t="s">
        <v>438</v>
      </c>
      <c r="B128">
        <v>128</v>
      </c>
      <c r="C128" t="s">
        <v>26</v>
      </c>
      <c r="D128" t="s">
        <v>439</v>
      </c>
      <c r="E128" t="s">
        <v>279</v>
      </c>
      <c r="F128" t="s">
        <v>90</v>
      </c>
      <c r="G128" t="s">
        <v>135</v>
      </c>
      <c r="H128">
        <f t="shared" si="5"/>
        <v>20900000</v>
      </c>
      <c r="I128">
        <f t="shared" si="6"/>
        <v>1100000</v>
      </c>
      <c r="J128">
        <f t="shared" si="7"/>
        <v>1500000</v>
      </c>
      <c r="K128" s="2">
        <f t="shared" si="8"/>
        <v>5.2631578947368418E-2</v>
      </c>
      <c r="L128" t="str">
        <f t="shared" si="9"/>
        <v>Tier 2</v>
      </c>
    </row>
    <row r="129" spans="1:12" x14ac:dyDescent="0.35">
      <c r="A129" s="1" t="s">
        <v>440</v>
      </c>
      <c r="B129">
        <v>129</v>
      </c>
      <c r="C129" t="s">
        <v>26</v>
      </c>
      <c r="D129" t="s">
        <v>441</v>
      </c>
      <c r="E129" t="s">
        <v>10</v>
      </c>
      <c r="F129" t="s">
        <v>442</v>
      </c>
      <c r="G129" t="s">
        <v>443</v>
      </c>
      <c r="H129">
        <f t="shared" si="5"/>
        <v>75600000</v>
      </c>
      <c r="I129">
        <f t="shared" si="6"/>
        <v>294000</v>
      </c>
      <c r="J129">
        <f t="shared" si="7"/>
        <v>400300</v>
      </c>
      <c r="K129" s="2">
        <f t="shared" si="8"/>
        <v>3.8888888888888888E-3</v>
      </c>
      <c r="L129" t="str">
        <f t="shared" si="9"/>
        <v>Tier 3</v>
      </c>
    </row>
    <row r="130" spans="1:12" x14ac:dyDescent="0.35">
      <c r="A130" s="1" t="s">
        <v>444</v>
      </c>
      <c r="B130">
        <v>130</v>
      </c>
      <c r="C130" t="s">
        <v>445</v>
      </c>
      <c r="D130" t="s">
        <v>346</v>
      </c>
      <c r="E130" t="s">
        <v>22</v>
      </c>
      <c r="F130" t="s">
        <v>90</v>
      </c>
      <c r="G130" t="s">
        <v>52</v>
      </c>
      <c r="H130">
        <f t="shared" si="5"/>
        <v>21900000</v>
      </c>
      <c r="I130">
        <f t="shared" si="6"/>
        <v>1100000</v>
      </c>
      <c r="J130">
        <f t="shared" si="7"/>
        <v>1400000</v>
      </c>
      <c r="K130" s="2">
        <f t="shared" si="8"/>
        <v>5.0228310502283102E-2</v>
      </c>
      <c r="L130" t="str">
        <f t="shared" si="9"/>
        <v>Tier 2</v>
      </c>
    </row>
    <row r="131" spans="1:12" x14ac:dyDescent="0.35">
      <c r="A131" s="1" t="s">
        <v>446</v>
      </c>
      <c r="B131">
        <v>131</v>
      </c>
      <c r="C131" t="s">
        <v>69</v>
      </c>
      <c r="D131" t="s">
        <v>447</v>
      </c>
      <c r="E131" t="s">
        <v>10</v>
      </c>
      <c r="F131" t="s">
        <v>448</v>
      </c>
      <c r="G131" t="s">
        <v>449</v>
      </c>
      <c r="H131">
        <f t="shared" ref="H131:H194" si="10">IF(RIGHT(D131,1)="M", VALUE(SUBSTITUTE(D131,"M",""))*1000000, VALUE(SUBSTITUTE(D131,"K",""))*1000)</f>
        <v>43500000</v>
      </c>
      <c r="I131">
        <f t="shared" ref="I131:I194" si="11">IF(RIGHT(F131,1)="M", VALUE(SUBSTITUTE(F131,"M",""))*1000000, VALUE(SUBSTITUTE(F131,"K",""))*1000)</f>
        <v>540900</v>
      </c>
      <c r="J131">
        <f t="shared" ref="J131:J194" si="12">IF(RIGHT(G131,1)="M", VALUE(SUBSTITUTE(G131,"M",""))*1000000, VALUE(SUBSTITUTE(G131,"K",""))*1000)</f>
        <v>684000</v>
      </c>
      <c r="K131" s="2">
        <f t="shared" ref="K131:K194" si="13">I131/H131</f>
        <v>1.2434482758620689E-2</v>
      </c>
      <c r="L131" t="str">
        <f t="shared" ref="L131:L194" si="14">IF(H131&lt;10000000,"Tier 1",
 IF(H131&lt;50000000,"Tier 2",
 IF(H131&lt;100000000,"Tier 3",
 "Tier 4")))</f>
        <v>Tier 2</v>
      </c>
    </row>
    <row r="132" spans="1:12" x14ac:dyDescent="0.35">
      <c r="A132" s="1" t="s">
        <v>450</v>
      </c>
      <c r="B132">
        <v>132</v>
      </c>
      <c r="C132" t="s">
        <v>69</v>
      </c>
      <c r="D132" t="s">
        <v>451</v>
      </c>
      <c r="E132" t="s">
        <v>22</v>
      </c>
      <c r="F132" t="s">
        <v>155</v>
      </c>
      <c r="G132" t="s">
        <v>28</v>
      </c>
      <c r="H132">
        <f t="shared" si="10"/>
        <v>12600000</v>
      </c>
      <c r="I132">
        <f t="shared" si="11"/>
        <v>1600000</v>
      </c>
      <c r="J132">
        <f t="shared" si="12"/>
        <v>2400000</v>
      </c>
      <c r="K132" s="2">
        <f t="shared" si="13"/>
        <v>0.12698412698412698</v>
      </c>
      <c r="L132" t="str">
        <f t="shared" si="14"/>
        <v>Tier 2</v>
      </c>
    </row>
    <row r="133" spans="1:12" x14ac:dyDescent="0.35">
      <c r="A133" s="1" t="s">
        <v>452</v>
      </c>
      <c r="B133">
        <v>133</v>
      </c>
      <c r="C133" t="s">
        <v>8</v>
      </c>
      <c r="D133" t="s">
        <v>201</v>
      </c>
      <c r="E133" t="s">
        <v>279</v>
      </c>
      <c r="F133" t="s">
        <v>453</v>
      </c>
      <c r="G133" t="s">
        <v>90</v>
      </c>
      <c r="H133">
        <f t="shared" si="10"/>
        <v>27000000</v>
      </c>
      <c r="I133">
        <f t="shared" si="11"/>
        <v>680800</v>
      </c>
      <c r="J133">
        <f t="shared" si="12"/>
        <v>1100000</v>
      </c>
      <c r="K133" s="2">
        <f t="shared" si="13"/>
        <v>2.5214814814814815E-2</v>
      </c>
      <c r="L133" t="str">
        <f t="shared" si="14"/>
        <v>Tier 2</v>
      </c>
    </row>
    <row r="134" spans="1:12" x14ac:dyDescent="0.35">
      <c r="A134" s="1" t="s">
        <v>454</v>
      </c>
      <c r="B134">
        <v>134</v>
      </c>
      <c r="C134" t="s">
        <v>69</v>
      </c>
      <c r="D134" t="s">
        <v>455</v>
      </c>
      <c r="E134" t="s">
        <v>10</v>
      </c>
      <c r="F134" t="s">
        <v>456</v>
      </c>
      <c r="G134" t="s">
        <v>457</v>
      </c>
      <c r="H134">
        <f t="shared" si="10"/>
        <v>73400000</v>
      </c>
      <c r="I134">
        <f t="shared" si="11"/>
        <v>349000</v>
      </c>
      <c r="J134">
        <f t="shared" si="12"/>
        <v>403700</v>
      </c>
      <c r="K134" s="2">
        <f t="shared" si="13"/>
        <v>4.7547683923705722E-3</v>
      </c>
      <c r="L134" t="str">
        <f t="shared" si="14"/>
        <v>Tier 3</v>
      </c>
    </row>
    <row r="135" spans="1:12" x14ac:dyDescent="0.35">
      <c r="A135" s="1" t="s">
        <v>458</v>
      </c>
      <c r="B135">
        <v>135</v>
      </c>
      <c r="C135" t="s">
        <v>8</v>
      </c>
      <c r="D135" t="s">
        <v>459</v>
      </c>
      <c r="E135" t="s">
        <v>42</v>
      </c>
      <c r="F135" t="s">
        <v>460</v>
      </c>
      <c r="G135" t="s">
        <v>52</v>
      </c>
      <c r="H135">
        <f t="shared" si="10"/>
        <v>21300000</v>
      </c>
      <c r="I135">
        <f t="shared" si="11"/>
        <v>806700</v>
      </c>
      <c r="J135">
        <f t="shared" si="12"/>
        <v>1400000</v>
      </c>
      <c r="K135" s="2">
        <f t="shared" si="13"/>
        <v>3.7873239436619716E-2</v>
      </c>
      <c r="L135" t="str">
        <f t="shared" si="14"/>
        <v>Tier 2</v>
      </c>
    </row>
    <row r="136" spans="1:12" x14ac:dyDescent="0.35">
      <c r="A136" s="1" t="s">
        <v>461</v>
      </c>
      <c r="B136">
        <v>136</v>
      </c>
      <c r="C136" t="s">
        <v>313</v>
      </c>
      <c r="D136" t="s">
        <v>462</v>
      </c>
      <c r="E136" t="s">
        <v>22</v>
      </c>
      <c r="F136" t="s">
        <v>463</v>
      </c>
      <c r="G136" t="s">
        <v>464</v>
      </c>
      <c r="H136">
        <f t="shared" si="10"/>
        <v>29500000</v>
      </c>
      <c r="I136">
        <f t="shared" si="11"/>
        <v>606100</v>
      </c>
      <c r="J136">
        <f t="shared" si="12"/>
        <v>967700</v>
      </c>
      <c r="K136" s="2">
        <f t="shared" si="13"/>
        <v>2.0545762711864406E-2</v>
      </c>
      <c r="L136" t="str">
        <f t="shared" si="14"/>
        <v>Tier 2</v>
      </c>
    </row>
    <row r="137" spans="1:12" x14ac:dyDescent="0.35">
      <c r="A137" s="1" t="s">
        <v>465</v>
      </c>
      <c r="B137">
        <v>137</v>
      </c>
      <c r="C137" t="s">
        <v>330</v>
      </c>
      <c r="D137" t="s">
        <v>466</v>
      </c>
      <c r="E137" t="s">
        <v>22</v>
      </c>
      <c r="F137" t="s">
        <v>434</v>
      </c>
      <c r="G137" t="s">
        <v>38</v>
      </c>
      <c r="H137">
        <f t="shared" si="10"/>
        <v>16800000</v>
      </c>
      <c r="I137">
        <f t="shared" si="11"/>
        <v>1000000</v>
      </c>
      <c r="J137">
        <f t="shared" si="12"/>
        <v>1700000</v>
      </c>
      <c r="K137" s="2">
        <f t="shared" si="13"/>
        <v>5.9523809523809521E-2</v>
      </c>
      <c r="L137" t="str">
        <f t="shared" si="14"/>
        <v>Tier 2</v>
      </c>
    </row>
    <row r="138" spans="1:12" x14ac:dyDescent="0.35">
      <c r="A138" s="1" t="s">
        <v>467</v>
      </c>
      <c r="B138">
        <v>138</v>
      </c>
      <c r="C138" t="s">
        <v>26</v>
      </c>
      <c r="D138" t="s">
        <v>468</v>
      </c>
      <c r="E138" t="s">
        <v>22</v>
      </c>
      <c r="F138" t="s">
        <v>469</v>
      </c>
      <c r="G138" t="s">
        <v>470</v>
      </c>
      <c r="H138">
        <f t="shared" si="10"/>
        <v>41600000</v>
      </c>
      <c r="I138">
        <f t="shared" si="11"/>
        <v>494600</v>
      </c>
      <c r="J138">
        <f t="shared" si="12"/>
        <v>685600</v>
      </c>
      <c r="K138" s="2">
        <f t="shared" si="13"/>
        <v>1.1889423076923077E-2</v>
      </c>
      <c r="L138" t="str">
        <f t="shared" si="14"/>
        <v>Tier 2</v>
      </c>
    </row>
    <row r="139" spans="1:12" x14ac:dyDescent="0.35">
      <c r="A139" s="1" t="s">
        <v>471</v>
      </c>
      <c r="B139">
        <v>139</v>
      </c>
      <c r="C139" t="s">
        <v>26</v>
      </c>
      <c r="D139" t="s">
        <v>472</v>
      </c>
      <c r="E139" t="s">
        <v>252</v>
      </c>
      <c r="F139" t="s">
        <v>473</v>
      </c>
      <c r="G139" t="s">
        <v>474</v>
      </c>
      <c r="H139">
        <f t="shared" si="10"/>
        <v>62700000</v>
      </c>
      <c r="I139">
        <f t="shared" si="11"/>
        <v>294200</v>
      </c>
      <c r="J139">
        <f t="shared" si="12"/>
        <v>452100</v>
      </c>
      <c r="K139" s="2">
        <f t="shared" si="13"/>
        <v>4.6921850079744819E-3</v>
      </c>
      <c r="L139" t="str">
        <f t="shared" si="14"/>
        <v>Tier 3</v>
      </c>
    </row>
    <row r="140" spans="1:12" x14ac:dyDescent="0.35">
      <c r="A140" s="1" t="s">
        <v>475</v>
      </c>
      <c r="B140">
        <v>140</v>
      </c>
      <c r="C140" t="s">
        <v>476</v>
      </c>
      <c r="D140" t="s">
        <v>477</v>
      </c>
      <c r="E140" t="s">
        <v>10</v>
      </c>
      <c r="F140" t="s">
        <v>478</v>
      </c>
      <c r="G140" t="s">
        <v>479</v>
      </c>
      <c r="H140">
        <f t="shared" si="10"/>
        <v>53000000</v>
      </c>
      <c r="I140">
        <f t="shared" si="11"/>
        <v>417300</v>
      </c>
      <c r="J140">
        <f t="shared" si="12"/>
        <v>534900</v>
      </c>
      <c r="K140" s="2">
        <f t="shared" si="13"/>
        <v>7.8735849056603777E-3</v>
      </c>
      <c r="L140" t="str">
        <f t="shared" si="14"/>
        <v>Tier 3</v>
      </c>
    </row>
    <row r="141" spans="1:12" x14ac:dyDescent="0.35">
      <c r="A141" s="1" t="s">
        <v>480</v>
      </c>
      <c r="B141">
        <v>141</v>
      </c>
      <c r="C141" t="s">
        <v>481</v>
      </c>
      <c r="D141" t="s">
        <v>303</v>
      </c>
      <c r="E141" t="s">
        <v>141</v>
      </c>
      <c r="F141" t="s">
        <v>482</v>
      </c>
      <c r="G141" t="s">
        <v>483</v>
      </c>
      <c r="H141">
        <f t="shared" si="10"/>
        <v>32299999.999999996</v>
      </c>
      <c r="I141">
        <f t="shared" si="11"/>
        <v>643500</v>
      </c>
      <c r="J141">
        <f t="shared" si="12"/>
        <v>852100</v>
      </c>
      <c r="K141" s="2">
        <f t="shared" si="13"/>
        <v>1.9922600619195048E-2</v>
      </c>
      <c r="L141" t="str">
        <f t="shared" si="14"/>
        <v>Tier 2</v>
      </c>
    </row>
    <row r="142" spans="1:12" x14ac:dyDescent="0.35">
      <c r="A142" s="1" t="s">
        <v>484</v>
      </c>
      <c r="B142">
        <v>142</v>
      </c>
      <c r="C142" t="s">
        <v>485</v>
      </c>
      <c r="D142" t="s">
        <v>486</v>
      </c>
      <c r="E142" t="s">
        <v>22</v>
      </c>
      <c r="F142" t="s">
        <v>487</v>
      </c>
      <c r="G142" t="s">
        <v>488</v>
      </c>
      <c r="H142">
        <f t="shared" si="10"/>
        <v>232200000</v>
      </c>
      <c r="I142">
        <f t="shared" si="11"/>
        <v>91400</v>
      </c>
      <c r="J142">
        <f t="shared" si="12"/>
        <v>117800</v>
      </c>
      <c r="K142" s="2">
        <f t="shared" si="13"/>
        <v>3.9362618432385875E-4</v>
      </c>
      <c r="L142" t="str">
        <f t="shared" si="14"/>
        <v>Tier 4</v>
      </c>
    </row>
    <row r="143" spans="1:12" x14ac:dyDescent="0.35">
      <c r="A143" s="1" t="s">
        <v>489</v>
      </c>
      <c r="B143">
        <v>143</v>
      </c>
      <c r="C143" t="s">
        <v>26</v>
      </c>
      <c r="D143" t="s">
        <v>490</v>
      </c>
      <c r="E143" t="s">
        <v>22</v>
      </c>
      <c r="F143" t="s">
        <v>491</v>
      </c>
      <c r="G143" t="s">
        <v>492</v>
      </c>
      <c r="H143">
        <f t="shared" si="10"/>
        <v>31800000</v>
      </c>
      <c r="I143">
        <f t="shared" si="11"/>
        <v>571300</v>
      </c>
      <c r="J143">
        <f t="shared" si="12"/>
        <v>852400</v>
      </c>
      <c r="K143" s="2">
        <f t="shared" si="13"/>
        <v>1.7965408805031446E-2</v>
      </c>
      <c r="L143" t="str">
        <f t="shared" si="14"/>
        <v>Tier 2</v>
      </c>
    </row>
    <row r="144" spans="1:12" x14ac:dyDescent="0.35">
      <c r="A144" s="1" t="s">
        <v>493</v>
      </c>
      <c r="B144">
        <v>144</v>
      </c>
      <c r="C144" t="s">
        <v>69</v>
      </c>
      <c r="D144" t="s">
        <v>494</v>
      </c>
      <c r="E144" t="s">
        <v>10</v>
      </c>
      <c r="F144" t="s">
        <v>495</v>
      </c>
      <c r="G144" t="s">
        <v>496</v>
      </c>
      <c r="H144">
        <f t="shared" si="10"/>
        <v>62200000</v>
      </c>
      <c r="I144">
        <f t="shared" si="11"/>
        <v>347800</v>
      </c>
      <c r="J144">
        <f t="shared" si="12"/>
        <v>424300</v>
      </c>
      <c r="K144" s="2">
        <f t="shared" si="13"/>
        <v>5.5916398713826369E-3</v>
      </c>
      <c r="L144" t="str">
        <f t="shared" si="14"/>
        <v>Tier 3</v>
      </c>
    </row>
    <row r="145" spans="1:12" x14ac:dyDescent="0.35">
      <c r="A145" s="1" t="s">
        <v>497</v>
      </c>
      <c r="B145">
        <v>145</v>
      </c>
      <c r="C145" t="s">
        <v>8</v>
      </c>
      <c r="D145" t="s">
        <v>498</v>
      </c>
      <c r="E145" t="s">
        <v>279</v>
      </c>
      <c r="F145" t="s">
        <v>499</v>
      </c>
      <c r="G145" t="s">
        <v>430</v>
      </c>
      <c r="H145">
        <f t="shared" si="10"/>
        <v>47800000</v>
      </c>
      <c r="I145">
        <f t="shared" si="11"/>
        <v>342300</v>
      </c>
      <c r="J145">
        <f t="shared" si="12"/>
        <v>538600</v>
      </c>
      <c r="K145" s="2">
        <f t="shared" si="13"/>
        <v>7.1610878661087863E-3</v>
      </c>
      <c r="L145" t="str">
        <f t="shared" si="14"/>
        <v>Tier 2</v>
      </c>
    </row>
    <row r="146" spans="1:12" x14ac:dyDescent="0.35">
      <c r="A146" s="1" t="s">
        <v>500</v>
      </c>
      <c r="B146">
        <v>146</v>
      </c>
      <c r="C146" t="s">
        <v>501</v>
      </c>
      <c r="D146" t="s">
        <v>502</v>
      </c>
      <c r="E146" t="s">
        <v>10</v>
      </c>
      <c r="F146" t="s">
        <v>503</v>
      </c>
      <c r="G146" t="s">
        <v>504</v>
      </c>
      <c r="H146">
        <f t="shared" si="10"/>
        <v>41200000</v>
      </c>
      <c r="I146">
        <f t="shared" si="11"/>
        <v>507000</v>
      </c>
      <c r="J146">
        <f t="shared" si="12"/>
        <v>625700</v>
      </c>
      <c r="K146" s="2">
        <f t="shared" si="13"/>
        <v>1.2305825242718447E-2</v>
      </c>
      <c r="L146" t="str">
        <f t="shared" si="14"/>
        <v>Tier 2</v>
      </c>
    </row>
    <row r="147" spans="1:12" x14ac:dyDescent="0.35">
      <c r="A147" s="1" t="s">
        <v>505</v>
      </c>
      <c r="B147">
        <v>147</v>
      </c>
      <c r="C147" t="s">
        <v>26</v>
      </c>
      <c r="D147" t="s">
        <v>506</v>
      </c>
      <c r="E147" t="s">
        <v>42</v>
      </c>
      <c r="F147" t="s">
        <v>507</v>
      </c>
      <c r="G147" t="s">
        <v>508</v>
      </c>
      <c r="H147">
        <f t="shared" si="10"/>
        <v>27400000</v>
      </c>
      <c r="I147">
        <f t="shared" si="11"/>
        <v>756600</v>
      </c>
      <c r="J147">
        <f t="shared" si="12"/>
        <v>928800</v>
      </c>
      <c r="K147" s="2">
        <f t="shared" si="13"/>
        <v>2.7613138686131387E-2</v>
      </c>
      <c r="L147" t="str">
        <f t="shared" si="14"/>
        <v>Tier 2</v>
      </c>
    </row>
    <row r="148" spans="1:12" x14ac:dyDescent="0.35">
      <c r="A148" s="1" t="s">
        <v>509</v>
      </c>
      <c r="B148">
        <v>148</v>
      </c>
      <c r="C148" t="s">
        <v>8</v>
      </c>
      <c r="D148" t="s">
        <v>510</v>
      </c>
      <c r="E148" t="s">
        <v>279</v>
      </c>
      <c r="F148" t="s">
        <v>511</v>
      </c>
      <c r="G148" t="s">
        <v>512</v>
      </c>
      <c r="H148">
        <f t="shared" si="10"/>
        <v>57200000</v>
      </c>
      <c r="I148">
        <f t="shared" si="11"/>
        <v>300900</v>
      </c>
      <c r="J148">
        <f t="shared" si="12"/>
        <v>446200</v>
      </c>
      <c r="K148" s="2">
        <f t="shared" si="13"/>
        <v>5.2604895104895102E-3</v>
      </c>
      <c r="L148" t="str">
        <f t="shared" si="14"/>
        <v>Tier 3</v>
      </c>
    </row>
    <row r="149" spans="1:12" x14ac:dyDescent="0.35">
      <c r="A149" s="1" t="s">
        <v>513</v>
      </c>
      <c r="B149">
        <v>149</v>
      </c>
      <c r="C149" t="s">
        <v>514</v>
      </c>
      <c r="D149" t="s">
        <v>515</v>
      </c>
      <c r="E149" t="s">
        <v>10</v>
      </c>
      <c r="F149" t="s">
        <v>516</v>
      </c>
      <c r="G149" t="s">
        <v>90</v>
      </c>
      <c r="H149">
        <f t="shared" si="10"/>
        <v>23600000</v>
      </c>
      <c r="I149">
        <f t="shared" si="11"/>
        <v>753100</v>
      </c>
      <c r="J149">
        <f t="shared" si="12"/>
        <v>1100000</v>
      </c>
      <c r="K149" s="2">
        <f t="shared" si="13"/>
        <v>3.1911016949152542E-2</v>
      </c>
      <c r="L149" t="str">
        <f t="shared" si="14"/>
        <v>Tier 2</v>
      </c>
    </row>
    <row r="150" spans="1:12" x14ac:dyDescent="0.35">
      <c r="A150" s="1" t="s">
        <v>517</v>
      </c>
      <c r="B150">
        <v>150</v>
      </c>
      <c r="C150" t="s">
        <v>69</v>
      </c>
      <c r="D150" t="s">
        <v>518</v>
      </c>
      <c r="E150" t="s">
        <v>519</v>
      </c>
      <c r="F150" t="s">
        <v>520</v>
      </c>
      <c r="G150" t="s">
        <v>521</v>
      </c>
      <c r="H150">
        <f t="shared" si="10"/>
        <v>30700000</v>
      </c>
      <c r="I150">
        <f t="shared" si="11"/>
        <v>549900</v>
      </c>
      <c r="J150">
        <f t="shared" si="12"/>
        <v>811900</v>
      </c>
      <c r="K150" s="2">
        <f t="shared" si="13"/>
        <v>1.7912052117263842E-2</v>
      </c>
      <c r="L150" t="str">
        <f t="shared" si="14"/>
        <v>Tier 2</v>
      </c>
    </row>
    <row r="151" spans="1:12" x14ac:dyDescent="0.35">
      <c r="A151" s="1" t="s">
        <v>522</v>
      </c>
      <c r="B151">
        <v>151</v>
      </c>
      <c r="C151" t="s">
        <v>69</v>
      </c>
      <c r="D151" t="s">
        <v>523</v>
      </c>
      <c r="E151" t="s">
        <v>10</v>
      </c>
      <c r="F151" t="s">
        <v>86</v>
      </c>
      <c r="G151" t="s">
        <v>155</v>
      </c>
      <c r="H151">
        <f t="shared" si="10"/>
        <v>16000000</v>
      </c>
      <c r="I151">
        <f t="shared" si="11"/>
        <v>1300000</v>
      </c>
      <c r="J151">
        <f t="shared" si="12"/>
        <v>1600000</v>
      </c>
      <c r="K151" s="2">
        <f t="shared" si="13"/>
        <v>8.1250000000000003E-2</v>
      </c>
      <c r="L151" t="str">
        <f t="shared" si="14"/>
        <v>Tier 2</v>
      </c>
    </row>
    <row r="152" spans="1:12" x14ac:dyDescent="0.35">
      <c r="A152" s="1" t="s">
        <v>524</v>
      </c>
      <c r="B152">
        <v>152</v>
      </c>
      <c r="C152" t="s">
        <v>26</v>
      </c>
      <c r="D152" t="s">
        <v>525</v>
      </c>
      <c r="E152" t="s">
        <v>22</v>
      </c>
      <c r="F152" t="s">
        <v>526</v>
      </c>
      <c r="G152" t="s">
        <v>527</v>
      </c>
      <c r="H152">
        <f t="shared" si="10"/>
        <v>29100000</v>
      </c>
      <c r="I152">
        <f t="shared" si="11"/>
        <v>486600</v>
      </c>
      <c r="J152">
        <f t="shared" si="12"/>
        <v>850200</v>
      </c>
      <c r="K152" s="2">
        <f t="shared" si="13"/>
        <v>1.6721649484536083E-2</v>
      </c>
      <c r="L152" t="str">
        <f t="shared" si="14"/>
        <v>Tier 2</v>
      </c>
    </row>
    <row r="153" spans="1:12" x14ac:dyDescent="0.35">
      <c r="A153" s="1" t="s">
        <v>528</v>
      </c>
      <c r="B153">
        <v>153</v>
      </c>
      <c r="C153" t="s">
        <v>26</v>
      </c>
      <c r="D153" t="s">
        <v>529</v>
      </c>
      <c r="E153" t="s">
        <v>22</v>
      </c>
      <c r="F153" t="s">
        <v>530</v>
      </c>
      <c r="G153" t="s">
        <v>531</v>
      </c>
      <c r="H153">
        <f t="shared" si="10"/>
        <v>40300000</v>
      </c>
      <c r="I153">
        <f t="shared" si="11"/>
        <v>446600</v>
      </c>
      <c r="J153">
        <f t="shared" si="12"/>
        <v>607000</v>
      </c>
      <c r="K153" s="2">
        <f t="shared" si="13"/>
        <v>1.1081885856079405E-2</v>
      </c>
      <c r="L153" t="str">
        <f t="shared" si="14"/>
        <v>Tier 2</v>
      </c>
    </row>
    <row r="154" spans="1:12" x14ac:dyDescent="0.35">
      <c r="A154" s="1" t="s">
        <v>532</v>
      </c>
      <c r="B154">
        <v>154</v>
      </c>
      <c r="C154" t="s">
        <v>69</v>
      </c>
      <c r="D154" t="s">
        <v>533</v>
      </c>
      <c r="E154" t="s">
        <v>10</v>
      </c>
      <c r="F154" t="s">
        <v>534</v>
      </c>
      <c r="G154" t="s">
        <v>535</v>
      </c>
      <c r="H154">
        <f t="shared" si="10"/>
        <v>35300000</v>
      </c>
      <c r="I154">
        <f t="shared" si="11"/>
        <v>608700</v>
      </c>
      <c r="J154">
        <f t="shared" si="12"/>
        <v>688500</v>
      </c>
      <c r="K154" s="2">
        <f t="shared" si="13"/>
        <v>1.7243626062322947E-2</v>
      </c>
      <c r="L154" t="str">
        <f t="shared" si="14"/>
        <v>Tier 2</v>
      </c>
    </row>
    <row r="155" spans="1:12" x14ac:dyDescent="0.35">
      <c r="A155" s="1" t="s">
        <v>536</v>
      </c>
      <c r="B155">
        <v>155</v>
      </c>
      <c r="C155" t="s">
        <v>445</v>
      </c>
      <c r="D155" t="s">
        <v>355</v>
      </c>
      <c r="E155" t="s">
        <v>141</v>
      </c>
      <c r="F155" t="s">
        <v>86</v>
      </c>
      <c r="G155" t="s">
        <v>52</v>
      </c>
      <c r="H155">
        <f t="shared" si="10"/>
        <v>17000000</v>
      </c>
      <c r="I155">
        <f t="shared" si="11"/>
        <v>1300000</v>
      </c>
      <c r="J155">
        <f t="shared" si="12"/>
        <v>1400000</v>
      </c>
      <c r="K155" s="2">
        <f t="shared" si="13"/>
        <v>7.6470588235294124E-2</v>
      </c>
      <c r="L155" t="str">
        <f t="shared" si="14"/>
        <v>Tier 2</v>
      </c>
    </row>
    <row r="156" spans="1:12" x14ac:dyDescent="0.35">
      <c r="A156" s="1" t="s">
        <v>537</v>
      </c>
      <c r="B156">
        <v>156</v>
      </c>
      <c r="C156" t="s">
        <v>69</v>
      </c>
      <c r="D156" t="s">
        <v>538</v>
      </c>
      <c r="E156" t="s">
        <v>22</v>
      </c>
      <c r="F156" t="s">
        <v>539</v>
      </c>
      <c r="G156" t="s">
        <v>540</v>
      </c>
      <c r="H156">
        <f t="shared" si="10"/>
        <v>24400000</v>
      </c>
      <c r="I156">
        <f t="shared" si="11"/>
        <v>737600</v>
      </c>
      <c r="J156">
        <f t="shared" si="12"/>
        <v>972300</v>
      </c>
      <c r="K156" s="2">
        <f t="shared" si="13"/>
        <v>3.0229508196721312E-2</v>
      </c>
      <c r="L156" t="str">
        <f t="shared" si="14"/>
        <v>Tier 2</v>
      </c>
    </row>
    <row r="157" spans="1:12" x14ac:dyDescent="0.35">
      <c r="A157" s="1" t="s">
        <v>541</v>
      </c>
      <c r="B157">
        <v>157</v>
      </c>
      <c r="C157" t="s">
        <v>542</v>
      </c>
      <c r="D157" t="s">
        <v>543</v>
      </c>
      <c r="E157" t="s">
        <v>22</v>
      </c>
      <c r="F157" t="s">
        <v>544</v>
      </c>
      <c r="G157" t="s">
        <v>38</v>
      </c>
      <c r="H157">
        <f t="shared" si="10"/>
        <v>13600000</v>
      </c>
      <c r="I157">
        <f t="shared" si="11"/>
        <v>923900</v>
      </c>
      <c r="J157">
        <f t="shared" si="12"/>
        <v>1700000</v>
      </c>
      <c r="K157" s="2">
        <f t="shared" si="13"/>
        <v>6.7933823529411769E-2</v>
      </c>
      <c r="L157" t="str">
        <f t="shared" si="14"/>
        <v>Tier 2</v>
      </c>
    </row>
    <row r="158" spans="1:12" x14ac:dyDescent="0.35">
      <c r="A158" s="1" t="s">
        <v>545</v>
      </c>
      <c r="B158">
        <v>158</v>
      </c>
      <c r="C158" t="s">
        <v>546</v>
      </c>
      <c r="D158" t="s">
        <v>547</v>
      </c>
      <c r="E158" t="s">
        <v>42</v>
      </c>
      <c r="F158" t="s">
        <v>548</v>
      </c>
      <c r="G158" t="s">
        <v>52</v>
      </c>
      <c r="H158">
        <f t="shared" si="10"/>
        <v>17100000</v>
      </c>
      <c r="I158">
        <f t="shared" si="11"/>
        <v>909800</v>
      </c>
      <c r="J158">
        <f t="shared" si="12"/>
        <v>1400000</v>
      </c>
      <c r="K158" s="2">
        <f t="shared" si="13"/>
        <v>5.3204678362573102E-2</v>
      </c>
      <c r="L158" t="str">
        <f t="shared" si="14"/>
        <v>Tier 2</v>
      </c>
    </row>
    <row r="159" spans="1:12" x14ac:dyDescent="0.35">
      <c r="A159" s="1" t="s">
        <v>549</v>
      </c>
      <c r="B159">
        <v>159</v>
      </c>
      <c r="C159" t="s">
        <v>550</v>
      </c>
      <c r="D159" t="s">
        <v>286</v>
      </c>
      <c r="E159" t="s">
        <v>42</v>
      </c>
      <c r="F159" t="s">
        <v>551</v>
      </c>
      <c r="G159" t="s">
        <v>552</v>
      </c>
      <c r="H159">
        <f t="shared" si="10"/>
        <v>29000000</v>
      </c>
      <c r="I159">
        <f t="shared" si="11"/>
        <v>553700</v>
      </c>
      <c r="J159">
        <f t="shared" si="12"/>
        <v>793700</v>
      </c>
      <c r="K159" s="2">
        <f t="shared" si="13"/>
        <v>1.9093103448275861E-2</v>
      </c>
      <c r="L159" t="str">
        <f t="shared" si="14"/>
        <v>Tier 2</v>
      </c>
    </row>
    <row r="160" spans="1:12" x14ac:dyDescent="0.35">
      <c r="A160" s="1" t="s">
        <v>553</v>
      </c>
      <c r="B160">
        <v>160</v>
      </c>
      <c r="C160" t="s">
        <v>69</v>
      </c>
      <c r="D160" t="s">
        <v>554</v>
      </c>
      <c r="E160" t="s">
        <v>10</v>
      </c>
      <c r="F160" t="s">
        <v>555</v>
      </c>
      <c r="G160" t="s">
        <v>90</v>
      </c>
      <c r="H160">
        <f t="shared" si="10"/>
        <v>20700000</v>
      </c>
      <c r="I160">
        <f t="shared" si="11"/>
        <v>961100</v>
      </c>
      <c r="J160">
        <f t="shared" si="12"/>
        <v>1100000</v>
      </c>
      <c r="K160" s="2">
        <f t="shared" si="13"/>
        <v>4.6429951690821258E-2</v>
      </c>
      <c r="L160" t="str">
        <f t="shared" si="14"/>
        <v>Tier 2</v>
      </c>
    </row>
    <row r="161" spans="1:12" x14ac:dyDescent="0.35">
      <c r="A161" s="1" t="s">
        <v>556</v>
      </c>
      <c r="B161">
        <v>161</v>
      </c>
      <c r="C161" t="s">
        <v>8</v>
      </c>
      <c r="D161" t="s">
        <v>557</v>
      </c>
      <c r="E161" t="s">
        <v>42</v>
      </c>
      <c r="F161" t="s">
        <v>558</v>
      </c>
      <c r="G161" t="s">
        <v>559</v>
      </c>
      <c r="H161">
        <f t="shared" si="10"/>
        <v>44100000</v>
      </c>
      <c r="I161">
        <f t="shared" si="11"/>
        <v>347400</v>
      </c>
      <c r="J161">
        <f t="shared" si="12"/>
        <v>520799.99999999994</v>
      </c>
      <c r="K161" s="2">
        <f t="shared" si="13"/>
        <v>7.877551020408163E-3</v>
      </c>
      <c r="L161" t="str">
        <f t="shared" si="14"/>
        <v>Tier 2</v>
      </c>
    </row>
    <row r="162" spans="1:12" x14ac:dyDescent="0.35">
      <c r="A162" s="1" t="s">
        <v>560</v>
      </c>
      <c r="B162">
        <v>162</v>
      </c>
      <c r="C162" t="s">
        <v>8</v>
      </c>
      <c r="D162" t="s">
        <v>561</v>
      </c>
      <c r="E162" t="s">
        <v>42</v>
      </c>
      <c r="F162" t="s">
        <v>562</v>
      </c>
      <c r="G162" t="s">
        <v>563</v>
      </c>
      <c r="H162">
        <f t="shared" si="10"/>
        <v>95700000</v>
      </c>
      <c r="I162">
        <f t="shared" si="11"/>
        <v>175800</v>
      </c>
      <c r="J162">
        <f t="shared" si="12"/>
        <v>237700</v>
      </c>
      <c r="K162" s="2">
        <f t="shared" si="13"/>
        <v>1.8369905956112853E-3</v>
      </c>
      <c r="L162" t="str">
        <f t="shared" si="14"/>
        <v>Tier 3</v>
      </c>
    </row>
    <row r="163" spans="1:12" x14ac:dyDescent="0.35">
      <c r="A163" s="1">
        <v>433</v>
      </c>
      <c r="B163">
        <v>163</v>
      </c>
      <c r="C163" t="s">
        <v>8</v>
      </c>
      <c r="D163" t="s">
        <v>564</v>
      </c>
      <c r="E163" t="s">
        <v>279</v>
      </c>
      <c r="F163" t="s">
        <v>565</v>
      </c>
      <c r="G163" t="s">
        <v>566</v>
      </c>
      <c r="H163">
        <f t="shared" si="10"/>
        <v>50800000</v>
      </c>
      <c r="I163">
        <f t="shared" si="11"/>
        <v>266700</v>
      </c>
      <c r="J163">
        <f t="shared" si="12"/>
        <v>441300</v>
      </c>
      <c r="K163" s="2">
        <f t="shared" si="13"/>
        <v>5.2500000000000003E-3</v>
      </c>
      <c r="L163" t="str">
        <f t="shared" si="14"/>
        <v>Tier 3</v>
      </c>
    </row>
    <row r="164" spans="1:12" x14ac:dyDescent="0.35">
      <c r="A164" s="1" t="s">
        <v>567</v>
      </c>
      <c r="B164">
        <v>164</v>
      </c>
      <c r="C164" t="s">
        <v>214</v>
      </c>
      <c r="D164" t="s">
        <v>568</v>
      </c>
      <c r="E164" t="s">
        <v>519</v>
      </c>
      <c r="F164" t="s">
        <v>569</v>
      </c>
      <c r="G164" t="s">
        <v>570</v>
      </c>
      <c r="H164">
        <f t="shared" si="10"/>
        <v>36200000</v>
      </c>
      <c r="I164">
        <f t="shared" si="11"/>
        <v>481300</v>
      </c>
      <c r="J164">
        <f t="shared" si="12"/>
        <v>621400</v>
      </c>
      <c r="K164" s="2">
        <f t="shared" si="13"/>
        <v>1.3295580110497238E-2</v>
      </c>
      <c r="L164" t="str">
        <f t="shared" si="14"/>
        <v>Tier 2</v>
      </c>
    </row>
    <row r="165" spans="1:12" x14ac:dyDescent="0.35">
      <c r="A165" s="1" t="s">
        <v>571</v>
      </c>
      <c r="B165">
        <v>165</v>
      </c>
      <c r="C165" t="s">
        <v>572</v>
      </c>
      <c r="D165" t="s">
        <v>538</v>
      </c>
      <c r="E165" t="s">
        <v>10</v>
      </c>
      <c r="F165" t="s">
        <v>573</v>
      </c>
      <c r="G165" t="s">
        <v>574</v>
      </c>
      <c r="H165">
        <f t="shared" si="10"/>
        <v>24400000</v>
      </c>
      <c r="I165">
        <f t="shared" si="11"/>
        <v>810300</v>
      </c>
      <c r="J165">
        <f t="shared" si="12"/>
        <v>914300</v>
      </c>
      <c r="K165" s="2">
        <f t="shared" si="13"/>
        <v>3.320901639344262E-2</v>
      </c>
      <c r="L165" t="str">
        <f t="shared" si="14"/>
        <v>Tier 2</v>
      </c>
    </row>
    <row r="166" spans="1:12" x14ac:dyDescent="0.35">
      <c r="A166" s="1" t="s">
        <v>575</v>
      </c>
      <c r="B166">
        <v>166</v>
      </c>
      <c r="C166" t="s">
        <v>26</v>
      </c>
      <c r="D166" t="s">
        <v>576</v>
      </c>
      <c r="E166" t="s">
        <v>58</v>
      </c>
      <c r="F166" t="s">
        <v>86</v>
      </c>
      <c r="G166" t="s">
        <v>155</v>
      </c>
      <c r="H166">
        <f t="shared" si="10"/>
        <v>14100000</v>
      </c>
      <c r="I166">
        <f t="shared" si="11"/>
        <v>1300000</v>
      </c>
      <c r="J166">
        <f t="shared" si="12"/>
        <v>1600000</v>
      </c>
      <c r="K166" s="2">
        <f t="shared" si="13"/>
        <v>9.2198581560283682E-2</v>
      </c>
      <c r="L166" t="str">
        <f t="shared" si="14"/>
        <v>Tier 2</v>
      </c>
    </row>
    <row r="167" spans="1:12" x14ac:dyDescent="0.35">
      <c r="A167" s="1" t="s">
        <v>577</v>
      </c>
      <c r="B167">
        <v>167</v>
      </c>
      <c r="C167" t="s">
        <v>26</v>
      </c>
      <c r="D167" t="s">
        <v>578</v>
      </c>
      <c r="E167" t="s">
        <v>10</v>
      </c>
      <c r="F167" t="s">
        <v>38</v>
      </c>
      <c r="G167" t="s">
        <v>67</v>
      </c>
      <c r="H167">
        <f t="shared" si="10"/>
        <v>10800000</v>
      </c>
      <c r="I167">
        <f t="shared" si="11"/>
        <v>1700000</v>
      </c>
      <c r="J167">
        <f t="shared" si="12"/>
        <v>2100000</v>
      </c>
      <c r="K167" s="2">
        <f t="shared" si="13"/>
        <v>0.15740740740740741</v>
      </c>
      <c r="L167" t="str">
        <f t="shared" si="14"/>
        <v>Tier 2</v>
      </c>
    </row>
    <row r="168" spans="1:12" x14ac:dyDescent="0.35">
      <c r="A168" s="1" t="s">
        <v>579</v>
      </c>
      <c r="B168">
        <v>168</v>
      </c>
      <c r="C168" t="s">
        <v>69</v>
      </c>
      <c r="D168" t="s">
        <v>580</v>
      </c>
      <c r="E168" t="s">
        <v>58</v>
      </c>
      <c r="F168" t="s">
        <v>581</v>
      </c>
      <c r="G168" t="s">
        <v>90</v>
      </c>
      <c r="H168">
        <f t="shared" si="10"/>
        <v>20600000</v>
      </c>
      <c r="I168">
        <f t="shared" si="11"/>
        <v>836500</v>
      </c>
      <c r="J168">
        <f t="shared" si="12"/>
        <v>1100000</v>
      </c>
      <c r="K168" s="2">
        <f t="shared" si="13"/>
        <v>4.0606796116504855E-2</v>
      </c>
      <c r="L168" t="str">
        <f t="shared" si="14"/>
        <v>Tier 2</v>
      </c>
    </row>
    <row r="169" spans="1:12" x14ac:dyDescent="0.35">
      <c r="A169" s="1" t="s">
        <v>582</v>
      </c>
      <c r="B169">
        <v>169</v>
      </c>
      <c r="C169" t="s">
        <v>8</v>
      </c>
      <c r="D169" t="s">
        <v>583</v>
      </c>
      <c r="E169" t="s">
        <v>584</v>
      </c>
      <c r="F169" t="s">
        <v>585</v>
      </c>
      <c r="G169" t="s">
        <v>586</v>
      </c>
      <c r="H169">
        <f t="shared" si="10"/>
        <v>49800000</v>
      </c>
      <c r="I169">
        <f t="shared" si="11"/>
        <v>286100</v>
      </c>
      <c r="J169">
        <f t="shared" si="12"/>
        <v>436900</v>
      </c>
      <c r="K169" s="2">
        <f t="shared" si="13"/>
        <v>5.744979919678715E-3</v>
      </c>
      <c r="L169" t="str">
        <f t="shared" si="14"/>
        <v>Tier 2</v>
      </c>
    </row>
    <row r="170" spans="1:12" x14ac:dyDescent="0.35">
      <c r="A170" s="1" t="s">
        <v>587</v>
      </c>
      <c r="B170">
        <v>170</v>
      </c>
      <c r="C170" t="s">
        <v>26</v>
      </c>
      <c r="D170" t="s">
        <v>588</v>
      </c>
      <c r="E170" t="s">
        <v>58</v>
      </c>
      <c r="F170" t="s">
        <v>100</v>
      </c>
      <c r="G170" t="s">
        <v>221</v>
      </c>
      <c r="H170">
        <f t="shared" si="10"/>
        <v>9800000</v>
      </c>
      <c r="I170">
        <f t="shared" si="11"/>
        <v>1800000</v>
      </c>
      <c r="J170">
        <f t="shared" si="12"/>
        <v>2300000</v>
      </c>
      <c r="K170" s="2">
        <f t="shared" si="13"/>
        <v>0.18367346938775511</v>
      </c>
      <c r="L170" t="str">
        <f t="shared" si="14"/>
        <v>Tier 1</v>
      </c>
    </row>
    <row r="171" spans="1:12" x14ac:dyDescent="0.35">
      <c r="A171" s="1" t="s">
        <v>589</v>
      </c>
      <c r="B171">
        <v>171</v>
      </c>
      <c r="C171" t="s">
        <v>590</v>
      </c>
      <c r="D171" t="s">
        <v>591</v>
      </c>
      <c r="E171" t="s">
        <v>584</v>
      </c>
      <c r="F171" t="s">
        <v>592</v>
      </c>
      <c r="G171" t="s">
        <v>434</v>
      </c>
      <c r="H171">
        <f t="shared" si="10"/>
        <v>21200000</v>
      </c>
      <c r="I171">
        <f t="shared" si="11"/>
        <v>753500</v>
      </c>
      <c r="J171">
        <f t="shared" si="12"/>
        <v>1000000</v>
      </c>
      <c r="K171" s="2">
        <f t="shared" si="13"/>
        <v>3.5542452830188677E-2</v>
      </c>
      <c r="L171" t="str">
        <f t="shared" si="14"/>
        <v>Tier 2</v>
      </c>
    </row>
    <row r="172" spans="1:12" x14ac:dyDescent="0.35">
      <c r="A172" s="1" t="s">
        <v>593</v>
      </c>
      <c r="B172">
        <v>172</v>
      </c>
      <c r="C172" t="s">
        <v>238</v>
      </c>
      <c r="D172" t="s">
        <v>594</v>
      </c>
      <c r="E172" t="s">
        <v>22</v>
      </c>
      <c r="F172" t="s">
        <v>595</v>
      </c>
      <c r="G172" t="s">
        <v>86</v>
      </c>
      <c r="H172">
        <f t="shared" si="10"/>
        <v>15900000</v>
      </c>
      <c r="I172">
        <f t="shared" si="11"/>
        <v>873500</v>
      </c>
      <c r="J172">
        <f t="shared" si="12"/>
        <v>1300000</v>
      </c>
      <c r="K172" s="2">
        <f t="shared" si="13"/>
        <v>5.4937106918238991E-2</v>
      </c>
      <c r="L172" t="str">
        <f t="shared" si="14"/>
        <v>Tier 2</v>
      </c>
    </row>
    <row r="173" spans="1:12" x14ac:dyDescent="0.35">
      <c r="A173" s="1" t="s">
        <v>596</v>
      </c>
      <c r="B173">
        <v>173</v>
      </c>
      <c r="C173" t="s">
        <v>597</v>
      </c>
      <c r="D173" t="s">
        <v>554</v>
      </c>
      <c r="E173" t="s">
        <v>16</v>
      </c>
      <c r="F173" t="s">
        <v>598</v>
      </c>
      <c r="G173" t="s">
        <v>434</v>
      </c>
      <c r="H173">
        <f t="shared" si="10"/>
        <v>20700000</v>
      </c>
      <c r="I173">
        <f t="shared" si="11"/>
        <v>744100</v>
      </c>
      <c r="J173">
        <f t="shared" si="12"/>
        <v>1000000</v>
      </c>
      <c r="K173" s="2">
        <f t="shared" si="13"/>
        <v>3.5946859903381645E-2</v>
      </c>
      <c r="L173" t="str">
        <f t="shared" si="14"/>
        <v>Tier 2</v>
      </c>
    </row>
    <row r="174" spans="1:12" x14ac:dyDescent="0.35">
      <c r="A174" s="1" t="s">
        <v>599</v>
      </c>
      <c r="B174">
        <v>174</v>
      </c>
      <c r="C174" t="s">
        <v>69</v>
      </c>
      <c r="D174" t="s">
        <v>459</v>
      </c>
      <c r="E174" t="s">
        <v>42</v>
      </c>
      <c r="F174" t="s">
        <v>600</v>
      </c>
      <c r="G174" t="s">
        <v>434</v>
      </c>
      <c r="H174">
        <f t="shared" si="10"/>
        <v>21300000</v>
      </c>
      <c r="I174">
        <f t="shared" si="11"/>
        <v>826500</v>
      </c>
      <c r="J174">
        <f t="shared" si="12"/>
        <v>1000000</v>
      </c>
      <c r="K174" s="2">
        <f t="shared" si="13"/>
        <v>3.8802816901408452E-2</v>
      </c>
      <c r="L174" t="str">
        <f t="shared" si="14"/>
        <v>Tier 2</v>
      </c>
    </row>
    <row r="175" spans="1:12" x14ac:dyDescent="0.35">
      <c r="A175" s="1" t="s">
        <v>601</v>
      </c>
      <c r="B175">
        <v>175</v>
      </c>
      <c r="C175" t="s">
        <v>76</v>
      </c>
      <c r="D175" t="s">
        <v>602</v>
      </c>
      <c r="E175" t="s">
        <v>42</v>
      </c>
      <c r="F175" t="s">
        <v>603</v>
      </c>
      <c r="G175" t="s">
        <v>604</v>
      </c>
      <c r="H175">
        <f t="shared" si="10"/>
        <v>25800000</v>
      </c>
      <c r="I175">
        <f t="shared" si="11"/>
        <v>457400</v>
      </c>
      <c r="J175">
        <f t="shared" si="12"/>
        <v>837000</v>
      </c>
      <c r="K175" s="2">
        <f t="shared" si="13"/>
        <v>1.7728682170542635E-2</v>
      </c>
      <c r="L175" t="str">
        <f t="shared" si="14"/>
        <v>Tier 2</v>
      </c>
    </row>
    <row r="176" spans="1:12" x14ac:dyDescent="0.35">
      <c r="A176" s="1" t="s">
        <v>605</v>
      </c>
      <c r="B176">
        <v>176</v>
      </c>
      <c r="C176" t="s">
        <v>76</v>
      </c>
      <c r="D176" t="s">
        <v>606</v>
      </c>
      <c r="E176" t="s">
        <v>141</v>
      </c>
      <c r="F176" t="s">
        <v>607</v>
      </c>
      <c r="G176" t="s">
        <v>90</v>
      </c>
      <c r="H176">
        <f t="shared" si="10"/>
        <v>18900000</v>
      </c>
      <c r="I176">
        <f t="shared" si="11"/>
        <v>915500</v>
      </c>
      <c r="J176">
        <f t="shared" si="12"/>
        <v>1100000</v>
      </c>
      <c r="K176" s="2">
        <f t="shared" si="13"/>
        <v>4.8439153439153441E-2</v>
      </c>
      <c r="L176" t="str">
        <f t="shared" si="14"/>
        <v>Tier 2</v>
      </c>
    </row>
    <row r="177" spans="1:12" x14ac:dyDescent="0.35">
      <c r="A177" s="1" t="s">
        <v>608</v>
      </c>
      <c r="B177">
        <v>177</v>
      </c>
      <c r="C177" t="s">
        <v>69</v>
      </c>
      <c r="D177" t="s">
        <v>367</v>
      </c>
      <c r="E177" t="s">
        <v>10</v>
      </c>
      <c r="F177" t="s">
        <v>496</v>
      </c>
      <c r="G177" t="s">
        <v>609</v>
      </c>
      <c r="H177">
        <f t="shared" si="10"/>
        <v>40700000</v>
      </c>
      <c r="I177">
        <f t="shared" si="11"/>
        <v>424300</v>
      </c>
      <c r="J177">
        <f t="shared" si="12"/>
        <v>518299.99999999994</v>
      </c>
      <c r="K177" s="2">
        <f t="shared" si="13"/>
        <v>1.0425061425061425E-2</v>
      </c>
      <c r="L177" t="str">
        <f t="shared" si="14"/>
        <v>Tier 2</v>
      </c>
    </row>
    <row r="178" spans="1:12" x14ac:dyDescent="0.35">
      <c r="A178" s="1" t="s">
        <v>610</v>
      </c>
      <c r="B178">
        <v>178</v>
      </c>
      <c r="C178" t="s">
        <v>8</v>
      </c>
      <c r="D178" t="s">
        <v>611</v>
      </c>
      <c r="E178" t="s">
        <v>265</v>
      </c>
      <c r="F178" t="s">
        <v>612</v>
      </c>
      <c r="G178" t="s">
        <v>613</v>
      </c>
      <c r="H178">
        <f t="shared" si="10"/>
        <v>24500000</v>
      </c>
      <c r="I178">
        <f t="shared" si="11"/>
        <v>617100</v>
      </c>
      <c r="J178">
        <f t="shared" si="12"/>
        <v>866600</v>
      </c>
      <c r="K178" s="2">
        <f t="shared" si="13"/>
        <v>2.5187755102040816E-2</v>
      </c>
      <c r="L178" t="str">
        <f t="shared" si="14"/>
        <v>Tier 2</v>
      </c>
    </row>
    <row r="179" spans="1:12" x14ac:dyDescent="0.35">
      <c r="A179" s="1" t="s">
        <v>614</v>
      </c>
      <c r="B179">
        <v>179</v>
      </c>
      <c r="C179" t="s">
        <v>615</v>
      </c>
      <c r="D179" t="s">
        <v>616</v>
      </c>
      <c r="E179" t="s">
        <v>265</v>
      </c>
      <c r="F179" t="s">
        <v>617</v>
      </c>
      <c r="G179" t="s">
        <v>618</v>
      </c>
      <c r="H179">
        <f t="shared" si="10"/>
        <v>37000000</v>
      </c>
      <c r="I179">
        <f t="shared" si="11"/>
        <v>418500</v>
      </c>
      <c r="J179">
        <f t="shared" si="12"/>
        <v>566200</v>
      </c>
      <c r="K179" s="2">
        <f t="shared" si="13"/>
        <v>1.131081081081081E-2</v>
      </c>
      <c r="L179" t="str">
        <f t="shared" si="14"/>
        <v>Tier 2</v>
      </c>
    </row>
    <row r="180" spans="1:12" x14ac:dyDescent="0.35">
      <c r="A180" s="1" t="s">
        <v>619</v>
      </c>
      <c r="B180">
        <v>180</v>
      </c>
      <c r="C180" t="s">
        <v>76</v>
      </c>
      <c r="D180" t="s">
        <v>620</v>
      </c>
      <c r="E180" t="s">
        <v>58</v>
      </c>
      <c r="F180" t="s">
        <v>67</v>
      </c>
      <c r="G180" t="s">
        <v>39</v>
      </c>
      <c r="H180">
        <f t="shared" si="10"/>
        <v>8500000</v>
      </c>
      <c r="I180">
        <f t="shared" si="11"/>
        <v>2100000</v>
      </c>
      <c r="J180">
        <f t="shared" si="12"/>
        <v>2500000</v>
      </c>
      <c r="K180" s="2">
        <f t="shared" si="13"/>
        <v>0.24705882352941178</v>
      </c>
      <c r="L180" t="str">
        <f t="shared" si="14"/>
        <v>Tier 1</v>
      </c>
    </row>
    <row r="181" spans="1:12" x14ac:dyDescent="0.35">
      <c r="A181" s="1" t="s">
        <v>621</v>
      </c>
      <c r="B181">
        <v>181</v>
      </c>
      <c r="C181" t="s">
        <v>69</v>
      </c>
      <c r="D181" t="s">
        <v>622</v>
      </c>
      <c r="E181" t="s">
        <v>22</v>
      </c>
      <c r="F181" t="s">
        <v>623</v>
      </c>
      <c r="G181" t="s">
        <v>624</v>
      </c>
      <c r="H181">
        <f t="shared" si="10"/>
        <v>44500000</v>
      </c>
      <c r="I181">
        <f t="shared" si="11"/>
        <v>362300</v>
      </c>
      <c r="J181">
        <f t="shared" si="12"/>
        <v>467900</v>
      </c>
      <c r="K181" s="2">
        <f t="shared" si="13"/>
        <v>8.1415730337078655E-3</v>
      </c>
      <c r="L181" t="str">
        <f t="shared" si="14"/>
        <v>Tier 2</v>
      </c>
    </row>
    <row r="182" spans="1:12" x14ac:dyDescent="0.35">
      <c r="A182" s="1" t="s">
        <v>625</v>
      </c>
      <c r="B182">
        <v>182</v>
      </c>
      <c r="C182" t="s">
        <v>14</v>
      </c>
      <c r="D182" t="s">
        <v>626</v>
      </c>
      <c r="E182" t="s">
        <v>22</v>
      </c>
      <c r="F182" t="s">
        <v>627</v>
      </c>
      <c r="G182" t="s">
        <v>628</v>
      </c>
      <c r="H182">
        <f t="shared" si="10"/>
        <v>44700000</v>
      </c>
      <c r="I182">
        <f t="shared" si="11"/>
        <v>344300</v>
      </c>
      <c r="J182">
        <f t="shared" si="12"/>
        <v>462100</v>
      </c>
      <c r="K182" s="2">
        <f t="shared" si="13"/>
        <v>7.7024608501118572E-3</v>
      </c>
      <c r="L182" t="str">
        <f t="shared" si="14"/>
        <v>Tier 2</v>
      </c>
    </row>
    <row r="183" spans="1:12" x14ac:dyDescent="0.35">
      <c r="A183" s="1" t="s">
        <v>629</v>
      </c>
      <c r="B183">
        <v>183</v>
      </c>
      <c r="C183" t="s">
        <v>408</v>
      </c>
      <c r="D183" t="s">
        <v>630</v>
      </c>
      <c r="E183" t="s">
        <v>42</v>
      </c>
      <c r="F183" t="s">
        <v>631</v>
      </c>
      <c r="G183" t="s">
        <v>632</v>
      </c>
      <c r="H183">
        <f t="shared" si="10"/>
        <v>20500000</v>
      </c>
      <c r="I183">
        <f t="shared" si="11"/>
        <v>727500</v>
      </c>
      <c r="J183">
        <f t="shared" si="12"/>
        <v>974000</v>
      </c>
      <c r="K183" s="2">
        <f t="shared" si="13"/>
        <v>3.5487804878048777E-2</v>
      </c>
      <c r="L183" t="str">
        <f t="shared" si="14"/>
        <v>Tier 2</v>
      </c>
    </row>
    <row r="184" spans="1:12" x14ac:dyDescent="0.35">
      <c r="A184" s="1" t="s">
        <v>633</v>
      </c>
      <c r="B184">
        <v>184</v>
      </c>
      <c r="C184" t="s">
        <v>634</v>
      </c>
      <c r="D184" t="s">
        <v>635</v>
      </c>
      <c r="E184" t="s">
        <v>22</v>
      </c>
      <c r="F184" t="s">
        <v>636</v>
      </c>
      <c r="G184" t="s">
        <v>637</v>
      </c>
      <c r="H184">
        <f t="shared" si="10"/>
        <v>65500000</v>
      </c>
      <c r="I184">
        <f t="shared" si="11"/>
        <v>226500</v>
      </c>
      <c r="J184">
        <f t="shared" si="12"/>
        <v>299500</v>
      </c>
      <c r="K184" s="2">
        <f t="shared" si="13"/>
        <v>3.4580152671755725E-3</v>
      </c>
      <c r="L184" t="str">
        <f t="shared" si="14"/>
        <v>Tier 3</v>
      </c>
    </row>
    <row r="185" spans="1:12" x14ac:dyDescent="0.35">
      <c r="A185" s="1" t="s">
        <v>638</v>
      </c>
      <c r="B185">
        <v>185</v>
      </c>
      <c r="C185" t="s">
        <v>26</v>
      </c>
      <c r="D185" t="s">
        <v>639</v>
      </c>
      <c r="E185" t="s">
        <v>22</v>
      </c>
      <c r="F185" t="s">
        <v>640</v>
      </c>
      <c r="G185" t="s">
        <v>135</v>
      </c>
      <c r="H185">
        <f t="shared" si="10"/>
        <v>13000000</v>
      </c>
      <c r="I185">
        <f t="shared" si="11"/>
        <v>911400</v>
      </c>
      <c r="J185">
        <f t="shared" si="12"/>
        <v>1500000</v>
      </c>
      <c r="K185" s="2">
        <f t="shared" si="13"/>
        <v>7.0107692307692301E-2</v>
      </c>
      <c r="L185" t="str">
        <f t="shared" si="14"/>
        <v>Tier 2</v>
      </c>
    </row>
    <row r="186" spans="1:12" x14ac:dyDescent="0.35">
      <c r="A186" s="1" t="s">
        <v>641</v>
      </c>
      <c r="B186">
        <v>186</v>
      </c>
      <c r="C186" t="s">
        <v>69</v>
      </c>
      <c r="D186" t="s">
        <v>642</v>
      </c>
      <c r="E186" t="s">
        <v>22</v>
      </c>
      <c r="F186" t="s">
        <v>643</v>
      </c>
      <c r="G186" t="s">
        <v>434</v>
      </c>
      <c r="H186">
        <f t="shared" si="10"/>
        <v>19100000</v>
      </c>
      <c r="I186">
        <f t="shared" si="11"/>
        <v>796200</v>
      </c>
      <c r="J186">
        <f t="shared" si="12"/>
        <v>1000000</v>
      </c>
      <c r="K186" s="2">
        <f t="shared" si="13"/>
        <v>4.1685863874345551E-2</v>
      </c>
      <c r="L186" t="str">
        <f t="shared" si="14"/>
        <v>Tier 2</v>
      </c>
    </row>
    <row r="187" spans="1:12" x14ac:dyDescent="0.35">
      <c r="A187" s="1" t="s">
        <v>644</v>
      </c>
      <c r="B187">
        <v>187</v>
      </c>
      <c r="C187" t="s">
        <v>8</v>
      </c>
      <c r="D187" t="s">
        <v>645</v>
      </c>
      <c r="E187" t="s">
        <v>279</v>
      </c>
      <c r="F187" t="s">
        <v>646</v>
      </c>
      <c r="G187" t="s">
        <v>647</v>
      </c>
      <c r="H187">
        <f t="shared" si="10"/>
        <v>24300000</v>
      </c>
      <c r="I187">
        <f t="shared" si="11"/>
        <v>537800</v>
      </c>
      <c r="J187">
        <f t="shared" si="12"/>
        <v>787400</v>
      </c>
      <c r="K187" s="2">
        <f t="shared" si="13"/>
        <v>2.2131687242798355E-2</v>
      </c>
      <c r="L187" t="str">
        <f t="shared" si="14"/>
        <v>Tier 2</v>
      </c>
    </row>
    <row r="188" spans="1:12" x14ac:dyDescent="0.35">
      <c r="A188" s="1" t="s">
        <v>648</v>
      </c>
      <c r="B188">
        <v>188</v>
      </c>
      <c r="C188" t="s">
        <v>330</v>
      </c>
      <c r="D188" t="s">
        <v>649</v>
      </c>
      <c r="E188" t="s">
        <v>58</v>
      </c>
      <c r="F188" t="s">
        <v>135</v>
      </c>
      <c r="G188" t="s">
        <v>100</v>
      </c>
      <c r="H188">
        <f t="shared" si="10"/>
        <v>10700000</v>
      </c>
      <c r="I188">
        <f t="shared" si="11"/>
        <v>1500000</v>
      </c>
      <c r="J188">
        <f t="shared" si="12"/>
        <v>1800000</v>
      </c>
      <c r="K188" s="2">
        <f t="shared" si="13"/>
        <v>0.14018691588785046</v>
      </c>
      <c r="L188" t="str">
        <f t="shared" si="14"/>
        <v>Tier 2</v>
      </c>
    </row>
    <row r="189" spans="1:12" x14ac:dyDescent="0.35">
      <c r="A189" s="1" t="s">
        <v>650</v>
      </c>
      <c r="B189">
        <v>189</v>
      </c>
      <c r="C189" t="s">
        <v>76</v>
      </c>
      <c r="D189" t="s">
        <v>651</v>
      </c>
      <c r="E189" t="s">
        <v>58</v>
      </c>
      <c r="F189" t="s">
        <v>52</v>
      </c>
      <c r="G189" t="s">
        <v>100</v>
      </c>
      <c r="H189">
        <f t="shared" si="10"/>
        <v>10300000</v>
      </c>
      <c r="I189">
        <f t="shared" si="11"/>
        <v>1400000</v>
      </c>
      <c r="J189">
        <f t="shared" si="12"/>
        <v>1800000</v>
      </c>
      <c r="K189" s="2">
        <f t="shared" si="13"/>
        <v>0.13592233009708737</v>
      </c>
      <c r="L189" t="str">
        <f t="shared" si="14"/>
        <v>Tier 2</v>
      </c>
    </row>
    <row r="190" spans="1:12" x14ac:dyDescent="0.35">
      <c r="A190" s="1" t="s">
        <v>652</v>
      </c>
      <c r="B190">
        <v>190</v>
      </c>
      <c r="C190" t="s">
        <v>8</v>
      </c>
      <c r="D190" t="s">
        <v>653</v>
      </c>
      <c r="E190" t="s">
        <v>42</v>
      </c>
      <c r="F190" t="s">
        <v>654</v>
      </c>
      <c r="G190" t="s">
        <v>655</v>
      </c>
      <c r="H190">
        <f t="shared" si="10"/>
        <v>54700000</v>
      </c>
      <c r="I190">
        <f t="shared" si="11"/>
        <v>190800</v>
      </c>
      <c r="J190">
        <f t="shared" si="12"/>
        <v>339500</v>
      </c>
      <c r="K190" s="2">
        <f t="shared" si="13"/>
        <v>3.4881170018281537E-3</v>
      </c>
      <c r="L190" t="str">
        <f t="shared" si="14"/>
        <v>Tier 3</v>
      </c>
    </row>
    <row r="191" spans="1:12" x14ac:dyDescent="0.35">
      <c r="A191" s="1" t="s">
        <v>656</v>
      </c>
      <c r="B191">
        <v>191</v>
      </c>
      <c r="C191" t="s">
        <v>313</v>
      </c>
      <c r="D191" t="s">
        <v>311</v>
      </c>
      <c r="E191" t="s">
        <v>58</v>
      </c>
      <c r="F191" t="s">
        <v>657</v>
      </c>
      <c r="G191" t="s">
        <v>86</v>
      </c>
      <c r="H191">
        <f t="shared" si="10"/>
        <v>14400000</v>
      </c>
      <c r="I191">
        <f t="shared" si="11"/>
        <v>926600</v>
      </c>
      <c r="J191">
        <f t="shared" si="12"/>
        <v>1300000</v>
      </c>
      <c r="K191" s="2">
        <f t="shared" si="13"/>
        <v>6.4347222222222222E-2</v>
      </c>
      <c r="L191" t="str">
        <f t="shared" si="14"/>
        <v>Tier 2</v>
      </c>
    </row>
    <row r="192" spans="1:12" x14ac:dyDescent="0.35">
      <c r="A192" s="1" t="s">
        <v>658</v>
      </c>
      <c r="B192">
        <v>192</v>
      </c>
      <c r="C192" t="s">
        <v>8</v>
      </c>
      <c r="D192" t="s">
        <v>659</v>
      </c>
      <c r="E192" t="s">
        <v>279</v>
      </c>
      <c r="F192" t="s">
        <v>660</v>
      </c>
      <c r="G192" t="s">
        <v>661</v>
      </c>
      <c r="H192">
        <f t="shared" si="10"/>
        <v>52300000</v>
      </c>
      <c r="I192">
        <f t="shared" si="11"/>
        <v>222100</v>
      </c>
      <c r="J192">
        <f t="shared" si="12"/>
        <v>343000</v>
      </c>
      <c r="K192" s="2">
        <f t="shared" si="13"/>
        <v>4.246653919694073E-3</v>
      </c>
      <c r="L192" t="str">
        <f t="shared" si="14"/>
        <v>Tier 3</v>
      </c>
    </row>
    <row r="193" spans="1:12" x14ac:dyDescent="0.35">
      <c r="A193" s="1" t="s">
        <v>662</v>
      </c>
      <c r="B193">
        <v>193</v>
      </c>
      <c r="C193" t="s">
        <v>157</v>
      </c>
      <c r="D193" t="s">
        <v>663</v>
      </c>
      <c r="E193" t="s">
        <v>141</v>
      </c>
      <c r="F193" t="s">
        <v>664</v>
      </c>
      <c r="G193" t="s">
        <v>665</v>
      </c>
      <c r="H193">
        <f t="shared" si="10"/>
        <v>35900000</v>
      </c>
      <c r="I193">
        <f t="shared" si="11"/>
        <v>417900</v>
      </c>
      <c r="J193">
        <f t="shared" si="12"/>
        <v>502200</v>
      </c>
      <c r="K193" s="2">
        <f t="shared" si="13"/>
        <v>1.1640668523676879E-2</v>
      </c>
      <c r="L193" t="str">
        <f t="shared" si="14"/>
        <v>Tier 2</v>
      </c>
    </row>
    <row r="194" spans="1:12" x14ac:dyDescent="0.35">
      <c r="A194" s="1" t="s">
        <v>666</v>
      </c>
      <c r="B194">
        <v>195</v>
      </c>
      <c r="C194" t="s">
        <v>436</v>
      </c>
      <c r="D194" t="s">
        <v>667</v>
      </c>
      <c r="E194" t="s">
        <v>10</v>
      </c>
      <c r="F194" t="s">
        <v>668</v>
      </c>
      <c r="G194" t="s">
        <v>669</v>
      </c>
      <c r="H194">
        <f t="shared" si="10"/>
        <v>21400000</v>
      </c>
      <c r="I194">
        <f t="shared" si="11"/>
        <v>694600</v>
      </c>
      <c r="J194">
        <f t="shared" si="12"/>
        <v>831400</v>
      </c>
      <c r="K194" s="2">
        <f t="shared" si="13"/>
        <v>3.2457943925233643E-2</v>
      </c>
      <c r="L194" t="str">
        <f t="shared" si="14"/>
        <v>Tier 2</v>
      </c>
    </row>
    <row r="195" spans="1:12" x14ac:dyDescent="0.35">
      <c r="A195" s="1" t="s">
        <v>670</v>
      </c>
      <c r="B195">
        <v>196</v>
      </c>
      <c r="C195" t="s">
        <v>26</v>
      </c>
      <c r="D195" t="s">
        <v>671</v>
      </c>
      <c r="E195" t="s">
        <v>16</v>
      </c>
      <c r="F195" t="s">
        <v>90</v>
      </c>
      <c r="G195" t="s">
        <v>86</v>
      </c>
      <c r="H195">
        <f t="shared" ref="H195:H202" si="15">IF(RIGHT(D195,1)="M", VALUE(SUBSTITUTE(D195,"M",""))*1000000, VALUE(SUBSTITUTE(D195,"K",""))*1000)</f>
        <v>13500000</v>
      </c>
      <c r="I195">
        <f t="shared" ref="I195:I202" si="16">IF(RIGHT(F195,1)="M", VALUE(SUBSTITUTE(F195,"M",""))*1000000, VALUE(SUBSTITUTE(F195,"K",""))*1000)</f>
        <v>1100000</v>
      </c>
      <c r="J195">
        <f t="shared" ref="J195:J202" si="17">IF(RIGHT(G195,1)="M", VALUE(SUBSTITUTE(G195,"M",""))*1000000, VALUE(SUBSTITUTE(G195,"K",""))*1000)</f>
        <v>1300000</v>
      </c>
      <c r="K195" s="2">
        <f t="shared" ref="K195:K202" si="18">I195/H195</f>
        <v>8.1481481481481488E-2</v>
      </c>
      <c r="L195" t="str">
        <f t="shared" ref="L195:L202" si="19">IF(H195&lt;10000000,"Tier 1",
 IF(H195&lt;50000000,"Tier 2",
 IF(H195&lt;100000000,"Tier 3",
 "Tier 4")))</f>
        <v>Tier 2</v>
      </c>
    </row>
    <row r="196" spans="1:12" x14ac:dyDescent="0.35">
      <c r="A196" s="1" t="s">
        <v>672</v>
      </c>
      <c r="B196">
        <v>197</v>
      </c>
      <c r="C196" t="s">
        <v>69</v>
      </c>
      <c r="D196" t="s">
        <v>673</v>
      </c>
      <c r="E196" t="s">
        <v>42</v>
      </c>
      <c r="F196" t="s">
        <v>674</v>
      </c>
      <c r="G196" t="s">
        <v>675</v>
      </c>
      <c r="H196">
        <f t="shared" si="15"/>
        <v>25700000</v>
      </c>
      <c r="I196">
        <f t="shared" si="16"/>
        <v>479900</v>
      </c>
      <c r="J196">
        <f t="shared" si="17"/>
        <v>687600</v>
      </c>
      <c r="K196" s="2">
        <f t="shared" si="18"/>
        <v>1.8673151750972762E-2</v>
      </c>
      <c r="L196" t="str">
        <f t="shared" si="19"/>
        <v>Tier 2</v>
      </c>
    </row>
    <row r="197" spans="1:12" x14ac:dyDescent="0.35">
      <c r="A197" s="1" t="s">
        <v>676</v>
      </c>
      <c r="B197">
        <v>198</v>
      </c>
      <c r="C197" t="s">
        <v>69</v>
      </c>
      <c r="D197" t="s">
        <v>677</v>
      </c>
      <c r="E197" t="s">
        <v>58</v>
      </c>
      <c r="F197" t="s">
        <v>678</v>
      </c>
      <c r="G197" t="s">
        <v>47</v>
      </c>
      <c r="H197">
        <f t="shared" si="15"/>
        <v>14600000</v>
      </c>
      <c r="I197">
        <f t="shared" si="16"/>
        <v>904600</v>
      </c>
      <c r="J197">
        <f t="shared" si="17"/>
        <v>1200000</v>
      </c>
      <c r="K197" s="2">
        <f t="shared" si="18"/>
        <v>6.1958904109589041E-2</v>
      </c>
      <c r="L197" t="str">
        <f t="shared" si="19"/>
        <v>Tier 2</v>
      </c>
    </row>
    <row r="198" spans="1:12" x14ac:dyDescent="0.35">
      <c r="A198" s="1" t="s">
        <v>679</v>
      </c>
      <c r="B198">
        <v>199</v>
      </c>
      <c r="C198" t="s">
        <v>76</v>
      </c>
      <c r="D198" t="s">
        <v>680</v>
      </c>
      <c r="E198" t="s">
        <v>58</v>
      </c>
      <c r="F198" t="s">
        <v>434</v>
      </c>
      <c r="G198" t="s">
        <v>47</v>
      </c>
      <c r="H198">
        <f t="shared" si="15"/>
        <v>14000000</v>
      </c>
      <c r="I198">
        <f t="shared" si="16"/>
        <v>1000000</v>
      </c>
      <c r="J198">
        <f t="shared" si="17"/>
        <v>1200000</v>
      </c>
      <c r="K198" s="2">
        <f t="shared" si="18"/>
        <v>7.1428571428571425E-2</v>
      </c>
      <c r="L198" t="str">
        <f t="shared" si="19"/>
        <v>Tier 2</v>
      </c>
    </row>
    <row r="199" spans="1:12" x14ac:dyDescent="0.35">
      <c r="A199" s="1" t="s">
        <v>681</v>
      </c>
      <c r="B199">
        <v>200</v>
      </c>
      <c r="C199" t="s">
        <v>26</v>
      </c>
      <c r="D199" t="s">
        <v>682</v>
      </c>
      <c r="E199" t="s">
        <v>42</v>
      </c>
      <c r="F199" t="s">
        <v>683</v>
      </c>
      <c r="G199" t="s">
        <v>90</v>
      </c>
      <c r="H199">
        <f t="shared" si="15"/>
        <v>16600000.000000002</v>
      </c>
      <c r="I199">
        <f t="shared" si="16"/>
        <v>840200</v>
      </c>
      <c r="J199">
        <f t="shared" si="17"/>
        <v>1100000</v>
      </c>
      <c r="K199" s="2">
        <f t="shared" si="18"/>
        <v>5.0614457831325295E-2</v>
      </c>
      <c r="L199" t="str">
        <f t="shared" si="19"/>
        <v>Tier 2</v>
      </c>
    </row>
    <row r="200" spans="1:12" x14ac:dyDescent="0.35">
      <c r="A200" s="1" t="s">
        <v>684</v>
      </c>
      <c r="B200">
        <v>201</v>
      </c>
      <c r="C200" t="s">
        <v>26</v>
      </c>
      <c r="D200" t="s">
        <v>685</v>
      </c>
      <c r="E200" t="s">
        <v>279</v>
      </c>
      <c r="F200" t="s">
        <v>686</v>
      </c>
      <c r="G200" t="s">
        <v>687</v>
      </c>
      <c r="H200">
        <f t="shared" si="15"/>
        <v>28800000</v>
      </c>
      <c r="I200">
        <f t="shared" si="16"/>
        <v>399200</v>
      </c>
      <c r="J200">
        <f t="shared" si="17"/>
        <v>613700</v>
      </c>
      <c r="K200" s="2">
        <f t="shared" si="18"/>
        <v>1.3861111111111111E-2</v>
      </c>
      <c r="L200" t="str">
        <f t="shared" si="19"/>
        <v>Tier 2</v>
      </c>
    </row>
    <row r="201" spans="1:12" x14ac:dyDescent="0.35">
      <c r="A201" s="1" t="s">
        <v>688</v>
      </c>
      <c r="B201">
        <v>202</v>
      </c>
      <c r="C201" t="s">
        <v>313</v>
      </c>
      <c r="D201" t="s">
        <v>115</v>
      </c>
      <c r="E201" t="s">
        <v>265</v>
      </c>
      <c r="F201" t="s">
        <v>38</v>
      </c>
      <c r="G201" t="s">
        <v>196</v>
      </c>
      <c r="H201">
        <f t="shared" si="15"/>
        <v>6900000</v>
      </c>
      <c r="I201">
        <f t="shared" si="16"/>
        <v>1700000</v>
      </c>
      <c r="J201">
        <f t="shared" si="17"/>
        <v>2600000</v>
      </c>
      <c r="K201" s="2">
        <f t="shared" si="18"/>
        <v>0.24637681159420291</v>
      </c>
      <c r="L201" t="str">
        <f t="shared" si="19"/>
        <v>Tier 1</v>
      </c>
    </row>
    <row r="202" spans="1:12" x14ac:dyDescent="0.35">
      <c r="A202" s="1" t="s">
        <v>689</v>
      </c>
      <c r="B202">
        <v>204</v>
      </c>
      <c r="C202" t="s">
        <v>8</v>
      </c>
      <c r="D202" t="s">
        <v>690</v>
      </c>
      <c r="E202" t="s">
        <v>279</v>
      </c>
      <c r="F202" t="s">
        <v>691</v>
      </c>
      <c r="G202" t="s">
        <v>692</v>
      </c>
      <c r="H202">
        <f t="shared" si="15"/>
        <v>33100000</v>
      </c>
      <c r="I202">
        <f t="shared" si="16"/>
        <v>379800</v>
      </c>
      <c r="J202">
        <f t="shared" si="17"/>
        <v>517900</v>
      </c>
      <c r="K202" s="2">
        <f t="shared" si="18"/>
        <v>1.1474320241691843E-2</v>
      </c>
      <c r="L202" t="str">
        <f t="shared" si="19"/>
        <v>Tier 2</v>
      </c>
    </row>
    <row r="203" spans="1:12" hidden="1" x14ac:dyDescent="0.35">
      <c r="A203" s="1" t="s">
        <v>693</v>
      </c>
      <c r="B203">
        <v>205</v>
      </c>
      <c r="C203" t="s">
        <v>26</v>
      </c>
      <c r="D203" t="s">
        <v>194</v>
      </c>
      <c r="E203" t="s">
        <v>22</v>
      </c>
      <c r="F203">
        <v>0</v>
      </c>
      <c r="G203" t="s">
        <v>374</v>
      </c>
      <c r="K203"/>
    </row>
    <row r="204" spans="1:12" x14ac:dyDescent="0.35">
      <c r="A204" s="1" t="s">
        <v>694</v>
      </c>
      <c r="B204">
        <v>206</v>
      </c>
      <c r="C204" t="s">
        <v>8</v>
      </c>
      <c r="D204" t="s">
        <v>695</v>
      </c>
      <c r="E204" t="s">
        <v>10</v>
      </c>
      <c r="F204" t="s">
        <v>696</v>
      </c>
      <c r="G204" t="s">
        <v>697</v>
      </c>
      <c r="H204">
        <f t="shared" ref="H204:H242" si="20">IF(RIGHT(D204,1)="M", VALUE(SUBSTITUTE(D204,"M",""))*1000000, VALUE(SUBSTITUTE(D204,"K",""))*1000)</f>
        <v>21700000</v>
      </c>
      <c r="I204">
        <f t="shared" ref="I204:I242" si="21">IF(RIGHT(F204,1)="M", VALUE(SUBSTITUTE(F204,"M",""))*1000000, VALUE(SUBSTITUTE(F204,"K",""))*1000)</f>
        <v>625400</v>
      </c>
      <c r="J204">
        <f t="shared" ref="J204:J242" si="22">IF(RIGHT(G204,1)="M", VALUE(SUBSTITUTE(G204,"M",""))*1000000, VALUE(SUBSTITUTE(G204,"K",""))*1000)</f>
        <v>784100</v>
      </c>
      <c r="K204" s="2">
        <f t="shared" ref="K204:K242" si="23">I204/H204</f>
        <v>2.8820276497695852E-2</v>
      </c>
      <c r="L204" t="str">
        <f t="shared" ref="L204:L242" si="24">IF(H204&lt;10000000,"Tier 1",
 IF(H204&lt;50000000,"Tier 2",
 IF(H204&lt;100000000,"Tier 3",
 "Tier 4")))</f>
        <v>Tier 2</v>
      </c>
    </row>
    <row r="205" spans="1:12" x14ac:dyDescent="0.35">
      <c r="A205" s="1" t="s">
        <v>698</v>
      </c>
      <c r="B205">
        <v>207</v>
      </c>
      <c r="C205" t="s">
        <v>26</v>
      </c>
      <c r="D205" t="s">
        <v>699</v>
      </c>
      <c r="E205" t="s">
        <v>22</v>
      </c>
      <c r="F205" t="s">
        <v>700</v>
      </c>
      <c r="G205" t="s">
        <v>52</v>
      </c>
      <c r="H205">
        <f t="shared" si="20"/>
        <v>12300000</v>
      </c>
      <c r="I205">
        <f t="shared" si="21"/>
        <v>819700</v>
      </c>
      <c r="J205">
        <f t="shared" si="22"/>
        <v>1400000</v>
      </c>
      <c r="K205" s="2">
        <f t="shared" si="23"/>
        <v>6.6642276422764227E-2</v>
      </c>
      <c r="L205" t="str">
        <f t="shared" si="24"/>
        <v>Tier 2</v>
      </c>
    </row>
    <row r="206" spans="1:12" x14ac:dyDescent="0.35">
      <c r="A206" s="1" t="s">
        <v>701</v>
      </c>
      <c r="B206">
        <v>208</v>
      </c>
      <c r="C206" t="s">
        <v>436</v>
      </c>
      <c r="D206" t="s">
        <v>234</v>
      </c>
      <c r="E206" t="s">
        <v>58</v>
      </c>
      <c r="F206" t="s">
        <v>702</v>
      </c>
      <c r="G206" t="s">
        <v>703</v>
      </c>
      <c r="H206">
        <f t="shared" si="20"/>
        <v>24700000</v>
      </c>
      <c r="I206">
        <f t="shared" si="21"/>
        <v>447000</v>
      </c>
      <c r="J206">
        <f t="shared" si="22"/>
        <v>687700</v>
      </c>
      <c r="K206" s="2">
        <f t="shared" si="23"/>
        <v>1.8097165991902833E-2</v>
      </c>
      <c r="L206" t="str">
        <f t="shared" si="24"/>
        <v>Tier 2</v>
      </c>
    </row>
    <row r="207" spans="1:12" x14ac:dyDescent="0.35">
      <c r="A207" s="1" t="s">
        <v>704</v>
      </c>
      <c r="B207">
        <v>209</v>
      </c>
      <c r="C207" t="s">
        <v>26</v>
      </c>
      <c r="D207" t="s">
        <v>705</v>
      </c>
      <c r="E207" t="s">
        <v>42</v>
      </c>
      <c r="F207" t="s">
        <v>706</v>
      </c>
      <c r="G207" t="s">
        <v>707</v>
      </c>
      <c r="H207">
        <f t="shared" si="20"/>
        <v>62900000</v>
      </c>
      <c r="I207">
        <f t="shared" si="21"/>
        <v>145800</v>
      </c>
      <c r="J207">
        <f t="shared" si="22"/>
        <v>269500</v>
      </c>
      <c r="K207" s="2">
        <f t="shared" si="23"/>
        <v>2.3179650238473767E-3</v>
      </c>
      <c r="L207" t="str">
        <f t="shared" si="24"/>
        <v>Tier 3</v>
      </c>
    </row>
    <row r="208" spans="1:12" x14ac:dyDescent="0.35">
      <c r="A208" s="1" t="s">
        <v>708</v>
      </c>
      <c r="B208">
        <v>210</v>
      </c>
      <c r="C208" t="s">
        <v>26</v>
      </c>
      <c r="D208" t="s">
        <v>709</v>
      </c>
      <c r="E208" t="s">
        <v>22</v>
      </c>
      <c r="F208" t="s">
        <v>710</v>
      </c>
      <c r="G208" t="s">
        <v>434</v>
      </c>
      <c r="H208">
        <f t="shared" si="20"/>
        <v>16100000.000000002</v>
      </c>
      <c r="I208">
        <f t="shared" si="21"/>
        <v>568500</v>
      </c>
      <c r="J208">
        <f t="shared" si="22"/>
        <v>1000000</v>
      </c>
      <c r="K208" s="2">
        <f t="shared" si="23"/>
        <v>3.5310559006211176E-2</v>
      </c>
      <c r="L208" t="str">
        <f t="shared" si="24"/>
        <v>Tier 2</v>
      </c>
    </row>
    <row r="209" spans="1:12" x14ac:dyDescent="0.35">
      <c r="A209" s="1" t="s">
        <v>711</v>
      </c>
      <c r="B209">
        <v>211</v>
      </c>
      <c r="C209" t="s">
        <v>69</v>
      </c>
      <c r="D209" t="s">
        <v>712</v>
      </c>
      <c r="E209" t="s">
        <v>10</v>
      </c>
      <c r="F209" t="s">
        <v>713</v>
      </c>
      <c r="G209" t="s">
        <v>714</v>
      </c>
      <c r="H209">
        <f t="shared" si="20"/>
        <v>25500000</v>
      </c>
      <c r="I209">
        <f t="shared" si="21"/>
        <v>523299.99999999994</v>
      </c>
      <c r="J209">
        <f t="shared" si="22"/>
        <v>651000</v>
      </c>
      <c r="K209" s="2">
        <f t="shared" si="23"/>
        <v>2.0521568627450977E-2</v>
      </c>
      <c r="L209" t="str">
        <f t="shared" si="24"/>
        <v>Tier 2</v>
      </c>
    </row>
    <row r="210" spans="1:12" x14ac:dyDescent="0.35">
      <c r="A210" s="1" t="s">
        <v>715</v>
      </c>
      <c r="B210">
        <v>212</v>
      </c>
      <c r="C210" t="s">
        <v>26</v>
      </c>
      <c r="D210" t="s">
        <v>716</v>
      </c>
      <c r="E210" t="s">
        <v>42</v>
      </c>
      <c r="F210" t="s">
        <v>717</v>
      </c>
      <c r="G210" t="s">
        <v>718</v>
      </c>
      <c r="H210">
        <f t="shared" si="20"/>
        <v>18500000</v>
      </c>
      <c r="I210">
        <f t="shared" si="21"/>
        <v>658400</v>
      </c>
      <c r="J210">
        <f t="shared" si="22"/>
        <v>901100</v>
      </c>
      <c r="K210" s="2">
        <f t="shared" si="23"/>
        <v>3.5589189189189192E-2</v>
      </c>
      <c r="L210" t="str">
        <f t="shared" si="24"/>
        <v>Tier 2</v>
      </c>
    </row>
    <row r="211" spans="1:12" x14ac:dyDescent="0.35">
      <c r="A211" s="1" t="s">
        <v>719</v>
      </c>
      <c r="B211">
        <v>213</v>
      </c>
      <c r="C211" t="s">
        <v>26</v>
      </c>
      <c r="D211" t="s">
        <v>720</v>
      </c>
      <c r="E211" t="s">
        <v>10</v>
      </c>
      <c r="F211" t="s">
        <v>721</v>
      </c>
      <c r="G211" t="s">
        <v>722</v>
      </c>
      <c r="H211">
        <f t="shared" si="20"/>
        <v>70400000</v>
      </c>
      <c r="I211">
        <f t="shared" si="21"/>
        <v>199600</v>
      </c>
      <c r="J211">
        <f t="shared" si="22"/>
        <v>231800</v>
      </c>
      <c r="K211" s="2">
        <f t="shared" si="23"/>
        <v>2.8352272727272727E-3</v>
      </c>
      <c r="L211" t="str">
        <f t="shared" si="24"/>
        <v>Tier 3</v>
      </c>
    </row>
    <row r="212" spans="1:12" x14ac:dyDescent="0.35">
      <c r="A212" s="1" t="s">
        <v>723</v>
      </c>
      <c r="B212">
        <v>214</v>
      </c>
      <c r="C212" t="s">
        <v>26</v>
      </c>
      <c r="D212" t="s">
        <v>203</v>
      </c>
      <c r="E212" t="s">
        <v>22</v>
      </c>
      <c r="F212" t="s">
        <v>724</v>
      </c>
      <c r="G212" t="s">
        <v>725</v>
      </c>
      <c r="H212">
        <f t="shared" si="20"/>
        <v>30100000</v>
      </c>
      <c r="I212">
        <f t="shared" si="21"/>
        <v>410000</v>
      </c>
      <c r="J212">
        <f t="shared" si="22"/>
        <v>539000</v>
      </c>
      <c r="K212" s="2">
        <f t="shared" si="23"/>
        <v>1.3621262458471761E-2</v>
      </c>
      <c r="L212" t="str">
        <f t="shared" si="24"/>
        <v>Tier 2</v>
      </c>
    </row>
    <row r="213" spans="1:12" x14ac:dyDescent="0.35">
      <c r="A213" s="1" t="s">
        <v>726</v>
      </c>
      <c r="B213">
        <v>215</v>
      </c>
      <c r="C213" t="s">
        <v>69</v>
      </c>
      <c r="D213" t="s">
        <v>727</v>
      </c>
      <c r="E213" t="s">
        <v>10</v>
      </c>
      <c r="F213" t="s">
        <v>86</v>
      </c>
      <c r="G213" t="s">
        <v>135</v>
      </c>
      <c r="H213">
        <f t="shared" si="20"/>
        <v>10900000</v>
      </c>
      <c r="I213">
        <f t="shared" si="21"/>
        <v>1300000</v>
      </c>
      <c r="J213">
        <f t="shared" si="22"/>
        <v>1500000</v>
      </c>
      <c r="K213" s="2">
        <f t="shared" si="23"/>
        <v>0.11926605504587157</v>
      </c>
      <c r="L213" t="str">
        <f t="shared" si="24"/>
        <v>Tier 2</v>
      </c>
    </row>
    <row r="214" spans="1:12" x14ac:dyDescent="0.35">
      <c r="A214" s="1" t="s">
        <v>728</v>
      </c>
      <c r="B214">
        <v>216</v>
      </c>
      <c r="C214" t="s">
        <v>729</v>
      </c>
      <c r="D214" t="s">
        <v>730</v>
      </c>
      <c r="E214" t="s">
        <v>10</v>
      </c>
      <c r="F214" t="s">
        <v>731</v>
      </c>
      <c r="G214" t="s">
        <v>732</v>
      </c>
      <c r="H214">
        <f t="shared" si="20"/>
        <v>74500000</v>
      </c>
      <c r="I214">
        <f t="shared" si="21"/>
        <v>169000</v>
      </c>
      <c r="J214">
        <f t="shared" si="22"/>
        <v>217100</v>
      </c>
      <c r="K214" s="2">
        <f t="shared" si="23"/>
        <v>2.2684563758389262E-3</v>
      </c>
      <c r="L214" t="str">
        <f t="shared" si="24"/>
        <v>Tier 3</v>
      </c>
    </row>
    <row r="215" spans="1:12" x14ac:dyDescent="0.35">
      <c r="A215" s="1" t="s">
        <v>733</v>
      </c>
      <c r="B215">
        <v>218</v>
      </c>
      <c r="C215" t="s">
        <v>542</v>
      </c>
      <c r="D215" t="s">
        <v>734</v>
      </c>
      <c r="E215" t="s">
        <v>10</v>
      </c>
      <c r="F215" t="s">
        <v>735</v>
      </c>
      <c r="G215" t="s">
        <v>736</v>
      </c>
      <c r="H215">
        <f t="shared" si="20"/>
        <v>17700000</v>
      </c>
      <c r="I215">
        <f t="shared" si="21"/>
        <v>762300</v>
      </c>
      <c r="J215">
        <f t="shared" si="22"/>
        <v>910200</v>
      </c>
      <c r="K215" s="2">
        <f t="shared" si="23"/>
        <v>4.306779661016949E-2</v>
      </c>
      <c r="L215" t="str">
        <f t="shared" si="24"/>
        <v>Tier 2</v>
      </c>
    </row>
    <row r="216" spans="1:12" x14ac:dyDescent="0.35">
      <c r="A216" s="1" t="s">
        <v>737</v>
      </c>
      <c r="B216">
        <v>219</v>
      </c>
      <c r="C216" t="s">
        <v>26</v>
      </c>
      <c r="D216" t="s">
        <v>738</v>
      </c>
      <c r="E216" t="s">
        <v>22</v>
      </c>
      <c r="F216" t="s">
        <v>739</v>
      </c>
      <c r="G216" t="s">
        <v>740</v>
      </c>
      <c r="H216">
        <f t="shared" si="20"/>
        <v>19800000</v>
      </c>
      <c r="I216">
        <f t="shared" si="21"/>
        <v>442100</v>
      </c>
      <c r="J216">
        <f t="shared" si="22"/>
        <v>815800</v>
      </c>
      <c r="K216" s="2">
        <f t="shared" si="23"/>
        <v>2.2328282828282829E-2</v>
      </c>
      <c r="L216" t="str">
        <f t="shared" si="24"/>
        <v>Tier 2</v>
      </c>
    </row>
    <row r="217" spans="1:12" x14ac:dyDescent="0.35">
      <c r="A217" s="1" t="s">
        <v>741</v>
      </c>
      <c r="B217">
        <v>220</v>
      </c>
      <c r="C217" t="s">
        <v>76</v>
      </c>
      <c r="D217" t="s">
        <v>742</v>
      </c>
      <c r="E217" t="s">
        <v>58</v>
      </c>
      <c r="F217" t="s">
        <v>52</v>
      </c>
      <c r="G217" t="s">
        <v>100</v>
      </c>
      <c r="H217">
        <f t="shared" si="20"/>
        <v>9000000</v>
      </c>
      <c r="I217">
        <f t="shared" si="21"/>
        <v>1400000</v>
      </c>
      <c r="J217">
        <f t="shared" si="22"/>
        <v>1800000</v>
      </c>
      <c r="K217" s="2">
        <f t="shared" si="23"/>
        <v>0.15555555555555556</v>
      </c>
      <c r="L217" t="str">
        <f t="shared" si="24"/>
        <v>Tier 1</v>
      </c>
    </row>
    <row r="218" spans="1:12" x14ac:dyDescent="0.35">
      <c r="A218" s="1" t="s">
        <v>743</v>
      </c>
      <c r="B218">
        <v>221</v>
      </c>
      <c r="C218" t="s">
        <v>69</v>
      </c>
      <c r="D218" t="s">
        <v>744</v>
      </c>
      <c r="E218" t="s">
        <v>58</v>
      </c>
      <c r="F218" t="s">
        <v>745</v>
      </c>
      <c r="G218" t="s">
        <v>434</v>
      </c>
      <c r="H218">
        <f t="shared" si="20"/>
        <v>15500000</v>
      </c>
      <c r="I218">
        <f t="shared" si="21"/>
        <v>851200</v>
      </c>
      <c r="J218">
        <f t="shared" si="22"/>
        <v>1000000</v>
      </c>
      <c r="K218" s="2">
        <f t="shared" si="23"/>
        <v>5.4916129032258065E-2</v>
      </c>
      <c r="L218" t="str">
        <f t="shared" si="24"/>
        <v>Tier 2</v>
      </c>
    </row>
    <row r="219" spans="1:12" x14ac:dyDescent="0.35">
      <c r="A219" s="1" t="s">
        <v>747</v>
      </c>
      <c r="B219">
        <v>223</v>
      </c>
      <c r="C219" t="s">
        <v>76</v>
      </c>
      <c r="D219" t="s">
        <v>748</v>
      </c>
      <c r="E219" t="s">
        <v>58</v>
      </c>
      <c r="F219" t="s">
        <v>749</v>
      </c>
      <c r="G219" t="s">
        <v>750</v>
      </c>
      <c r="H219">
        <f t="shared" si="20"/>
        <v>31300000</v>
      </c>
      <c r="I219">
        <f t="shared" si="21"/>
        <v>412300</v>
      </c>
      <c r="J219">
        <f t="shared" si="22"/>
        <v>504400</v>
      </c>
      <c r="K219" s="2">
        <f t="shared" si="23"/>
        <v>1.3172523961661341E-2</v>
      </c>
      <c r="L219" t="str">
        <f t="shared" si="24"/>
        <v>Tier 2</v>
      </c>
    </row>
    <row r="220" spans="1:12" x14ac:dyDescent="0.35">
      <c r="A220" s="1" t="s">
        <v>751</v>
      </c>
      <c r="B220">
        <v>224</v>
      </c>
      <c r="C220" t="s">
        <v>313</v>
      </c>
      <c r="D220" t="s">
        <v>752</v>
      </c>
      <c r="E220" t="s">
        <v>22</v>
      </c>
      <c r="F220" t="s">
        <v>753</v>
      </c>
      <c r="G220" t="s">
        <v>754</v>
      </c>
      <c r="H220">
        <f t="shared" si="20"/>
        <v>22100000</v>
      </c>
      <c r="I220">
        <f t="shared" si="21"/>
        <v>493500</v>
      </c>
      <c r="J220">
        <f t="shared" si="22"/>
        <v>699800</v>
      </c>
      <c r="K220" s="2">
        <f t="shared" si="23"/>
        <v>2.2330316742081448E-2</v>
      </c>
      <c r="L220" t="str">
        <f t="shared" si="24"/>
        <v>Tier 2</v>
      </c>
    </row>
    <row r="221" spans="1:12" x14ac:dyDescent="0.35">
      <c r="A221" s="1" t="s">
        <v>755</v>
      </c>
      <c r="B221">
        <v>225</v>
      </c>
      <c r="C221" t="s">
        <v>69</v>
      </c>
      <c r="D221" t="s">
        <v>756</v>
      </c>
      <c r="E221" t="s">
        <v>22</v>
      </c>
      <c r="F221" t="s">
        <v>702</v>
      </c>
      <c r="G221" t="s">
        <v>757</v>
      </c>
      <c r="H221">
        <f t="shared" si="20"/>
        <v>23100000</v>
      </c>
      <c r="I221">
        <f t="shared" si="21"/>
        <v>447000</v>
      </c>
      <c r="J221">
        <f t="shared" si="22"/>
        <v>668300</v>
      </c>
      <c r="K221" s="2">
        <f t="shared" si="23"/>
        <v>1.9350649350649351E-2</v>
      </c>
      <c r="L221" t="str">
        <f t="shared" si="24"/>
        <v>Tier 2</v>
      </c>
    </row>
    <row r="222" spans="1:12" x14ac:dyDescent="0.35">
      <c r="A222" s="1" t="s">
        <v>758</v>
      </c>
      <c r="B222">
        <v>226</v>
      </c>
      <c r="C222" t="s">
        <v>26</v>
      </c>
      <c r="D222" t="s">
        <v>759</v>
      </c>
      <c r="E222" t="s">
        <v>58</v>
      </c>
      <c r="F222" t="s">
        <v>760</v>
      </c>
      <c r="G222" t="s">
        <v>434</v>
      </c>
      <c r="H222">
        <f t="shared" si="20"/>
        <v>15100000</v>
      </c>
      <c r="I222">
        <f t="shared" si="21"/>
        <v>808800</v>
      </c>
      <c r="J222">
        <f t="shared" si="22"/>
        <v>1000000</v>
      </c>
      <c r="K222" s="2">
        <f t="shared" si="23"/>
        <v>5.3562913907284765E-2</v>
      </c>
      <c r="L222" t="str">
        <f t="shared" si="24"/>
        <v>Tier 2</v>
      </c>
    </row>
    <row r="223" spans="1:12" x14ac:dyDescent="0.35">
      <c r="A223" s="1" t="s">
        <v>761</v>
      </c>
      <c r="B223">
        <v>227</v>
      </c>
      <c r="C223" t="s">
        <v>26</v>
      </c>
      <c r="D223" t="s">
        <v>762</v>
      </c>
      <c r="E223" t="s">
        <v>42</v>
      </c>
      <c r="F223" t="s">
        <v>763</v>
      </c>
      <c r="G223" t="s">
        <v>764</v>
      </c>
      <c r="H223">
        <f t="shared" si="20"/>
        <v>27200000</v>
      </c>
      <c r="I223">
        <f t="shared" si="21"/>
        <v>265400</v>
      </c>
      <c r="J223">
        <f t="shared" si="22"/>
        <v>560600</v>
      </c>
      <c r="K223" s="2">
        <f t="shared" si="23"/>
        <v>9.7573529411764705E-3</v>
      </c>
      <c r="L223" t="str">
        <f t="shared" si="24"/>
        <v>Tier 2</v>
      </c>
    </row>
    <row r="224" spans="1:12" x14ac:dyDescent="0.35">
      <c r="A224" s="1" t="s">
        <v>765</v>
      </c>
      <c r="B224">
        <v>228</v>
      </c>
      <c r="C224" t="s">
        <v>766</v>
      </c>
      <c r="D224" t="s">
        <v>767</v>
      </c>
      <c r="E224" t="s">
        <v>141</v>
      </c>
      <c r="F224" t="s">
        <v>90</v>
      </c>
      <c r="G224" t="s">
        <v>135</v>
      </c>
      <c r="H224">
        <f t="shared" si="20"/>
        <v>10000000</v>
      </c>
      <c r="I224">
        <f t="shared" si="21"/>
        <v>1100000</v>
      </c>
      <c r="J224">
        <f t="shared" si="22"/>
        <v>1500000</v>
      </c>
      <c r="K224" s="2">
        <f t="shared" si="23"/>
        <v>0.11</v>
      </c>
      <c r="L224" t="str">
        <f t="shared" si="24"/>
        <v>Tier 2</v>
      </c>
    </row>
    <row r="225" spans="1:12" x14ac:dyDescent="0.35">
      <c r="A225" s="1" t="s">
        <v>768</v>
      </c>
      <c r="B225">
        <v>229</v>
      </c>
      <c r="C225" t="s">
        <v>769</v>
      </c>
      <c r="D225" t="s">
        <v>770</v>
      </c>
      <c r="E225" t="s">
        <v>58</v>
      </c>
      <c r="F225" t="s">
        <v>771</v>
      </c>
      <c r="G225" t="s">
        <v>772</v>
      </c>
      <c r="H225">
        <f t="shared" si="20"/>
        <v>17900000</v>
      </c>
      <c r="I225">
        <f t="shared" si="21"/>
        <v>678700</v>
      </c>
      <c r="J225">
        <f t="shared" si="22"/>
        <v>837200</v>
      </c>
      <c r="K225" s="2">
        <f t="shared" si="23"/>
        <v>3.7916201117318436E-2</v>
      </c>
      <c r="L225" t="str">
        <f t="shared" si="24"/>
        <v>Tier 2</v>
      </c>
    </row>
    <row r="226" spans="1:12" x14ac:dyDescent="0.35">
      <c r="A226" s="1" t="s">
        <v>773</v>
      </c>
      <c r="B226">
        <v>230</v>
      </c>
      <c r="C226" t="s">
        <v>69</v>
      </c>
      <c r="D226" t="s">
        <v>774</v>
      </c>
      <c r="E226" t="s">
        <v>10</v>
      </c>
      <c r="F226" t="s">
        <v>775</v>
      </c>
      <c r="G226" t="s">
        <v>776</v>
      </c>
      <c r="H226">
        <f t="shared" si="20"/>
        <v>38000000</v>
      </c>
      <c r="I226">
        <f t="shared" si="21"/>
        <v>336700</v>
      </c>
      <c r="J226">
        <f t="shared" si="22"/>
        <v>393200</v>
      </c>
      <c r="K226" s="2">
        <f t="shared" si="23"/>
        <v>8.8605263157894732E-3</v>
      </c>
      <c r="L226" t="str">
        <f t="shared" si="24"/>
        <v>Tier 2</v>
      </c>
    </row>
    <row r="227" spans="1:12" x14ac:dyDescent="0.35">
      <c r="A227" s="1" t="s">
        <v>777</v>
      </c>
      <c r="B227">
        <v>231</v>
      </c>
      <c r="C227" t="s">
        <v>8</v>
      </c>
      <c r="D227" t="s">
        <v>778</v>
      </c>
      <c r="E227" t="s">
        <v>16</v>
      </c>
      <c r="F227" t="s">
        <v>779</v>
      </c>
      <c r="G227" t="s">
        <v>780</v>
      </c>
      <c r="H227">
        <f t="shared" si="20"/>
        <v>23500000</v>
      </c>
      <c r="I227">
        <f t="shared" si="21"/>
        <v>363400</v>
      </c>
      <c r="J227">
        <f t="shared" si="22"/>
        <v>628400</v>
      </c>
      <c r="K227" s="2">
        <f t="shared" si="23"/>
        <v>1.5463829787234042E-2</v>
      </c>
      <c r="L227" t="str">
        <f t="shared" si="24"/>
        <v>Tier 2</v>
      </c>
    </row>
    <row r="228" spans="1:12" x14ac:dyDescent="0.35">
      <c r="A228" s="1" t="s">
        <v>781</v>
      </c>
      <c r="B228">
        <v>232</v>
      </c>
      <c r="C228" t="s">
        <v>8</v>
      </c>
      <c r="D228" t="s">
        <v>782</v>
      </c>
      <c r="E228" t="s">
        <v>42</v>
      </c>
      <c r="F228" t="s">
        <v>783</v>
      </c>
      <c r="G228" t="s">
        <v>784</v>
      </c>
      <c r="H228">
        <f t="shared" si="20"/>
        <v>61200000</v>
      </c>
      <c r="I228">
        <f t="shared" si="21"/>
        <v>143200</v>
      </c>
      <c r="J228">
        <f t="shared" si="22"/>
        <v>240500</v>
      </c>
      <c r="K228" s="2">
        <f t="shared" si="23"/>
        <v>2.3398692810457518E-3</v>
      </c>
      <c r="L228" t="str">
        <f t="shared" si="24"/>
        <v>Tier 3</v>
      </c>
    </row>
    <row r="229" spans="1:12" x14ac:dyDescent="0.35">
      <c r="A229" s="1" t="s">
        <v>785</v>
      </c>
      <c r="B229">
        <v>233</v>
      </c>
      <c r="C229" t="s">
        <v>786</v>
      </c>
      <c r="D229" t="s">
        <v>787</v>
      </c>
      <c r="E229" t="s">
        <v>10</v>
      </c>
      <c r="F229" t="s">
        <v>788</v>
      </c>
      <c r="G229" t="s">
        <v>789</v>
      </c>
      <c r="H229">
        <f t="shared" si="20"/>
        <v>27900000</v>
      </c>
      <c r="I229">
        <f t="shared" si="21"/>
        <v>418700</v>
      </c>
      <c r="J229">
        <f t="shared" si="22"/>
        <v>535500</v>
      </c>
      <c r="K229" s="2">
        <f t="shared" si="23"/>
        <v>1.5007168458781361E-2</v>
      </c>
      <c r="L229" t="str">
        <f t="shared" si="24"/>
        <v>Tier 2</v>
      </c>
    </row>
    <row r="230" spans="1:12" x14ac:dyDescent="0.35">
      <c r="A230" s="1" t="s">
        <v>790</v>
      </c>
      <c r="B230">
        <v>234</v>
      </c>
      <c r="C230" t="s">
        <v>791</v>
      </c>
      <c r="D230" t="s">
        <v>792</v>
      </c>
      <c r="E230" t="s">
        <v>42</v>
      </c>
      <c r="F230" t="s">
        <v>793</v>
      </c>
      <c r="G230" t="s">
        <v>794</v>
      </c>
      <c r="H230">
        <f t="shared" si="20"/>
        <v>17400000</v>
      </c>
      <c r="I230">
        <f t="shared" si="21"/>
        <v>551200</v>
      </c>
      <c r="J230">
        <f t="shared" si="22"/>
        <v>850100</v>
      </c>
      <c r="K230" s="2">
        <f t="shared" si="23"/>
        <v>3.1678160919540232E-2</v>
      </c>
      <c r="L230" t="str">
        <f t="shared" si="24"/>
        <v>Tier 2</v>
      </c>
    </row>
    <row r="231" spans="1:12" x14ac:dyDescent="0.35">
      <c r="A231" s="1" t="s">
        <v>795</v>
      </c>
      <c r="B231">
        <v>235</v>
      </c>
      <c r="C231" t="s">
        <v>26</v>
      </c>
      <c r="D231" t="s">
        <v>796</v>
      </c>
      <c r="E231" t="s">
        <v>16</v>
      </c>
      <c r="F231" t="s">
        <v>797</v>
      </c>
      <c r="G231" t="s">
        <v>90</v>
      </c>
      <c r="H231">
        <f t="shared" si="20"/>
        <v>13800000</v>
      </c>
      <c r="I231">
        <f t="shared" si="21"/>
        <v>678800</v>
      </c>
      <c r="J231">
        <f t="shared" si="22"/>
        <v>1100000</v>
      </c>
      <c r="K231" s="2">
        <f t="shared" si="23"/>
        <v>4.9188405797101452E-2</v>
      </c>
      <c r="L231" t="str">
        <f t="shared" si="24"/>
        <v>Tier 2</v>
      </c>
    </row>
    <row r="232" spans="1:12" x14ac:dyDescent="0.35">
      <c r="A232" s="1" t="s">
        <v>798</v>
      </c>
      <c r="B232">
        <v>236</v>
      </c>
      <c r="C232" t="s">
        <v>76</v>
      </c>
      <c r="D232" t="s">
        <v>796</v>
      </c>
      <c r="E232" t="s">
        <v>799</v>
      </c>
      <c r="F232" t="s">
        <v>800</v>
      </c>
      <c r="G232" t="s">
        <v>90</v>
      </c>
      <c r="H232">
        <f t="shared" si="20"/>
        <v>13800000</v>
      </c>
      <c r="I232">
        <f t="shared" si="21"/>
        <v>938200</v>
      </c>
      <c r="J232">
        <f t="shared" si="22"/>
        <v>1100000</v>
      </c>
      <c r="K232" s="2">
        <f t="shared" si="23"/>
        <v>6.7985507246376808E-2</v>
      </c>
      <c r="L232" t="str">
        <f t="shared" si="24"/>
        <v>Tier 2</v>
      </c>
    </row>
    <row r="233" spans="1:12" x14ac:dyDescent="0.35">
      <c r="A233" s="1" t="s">
        <v>801</v>
      </c>
      <c r="B233">
        <v>237</v>
      </c>
      <c r="C233" t="s">
        <v>76</v>
      </c>
      <c r="D233" t="s">
        <v>802</v>
      </c>
      <c r="E233" t="s">
        <v>58</v>
      </c>
      <c r="F233" t="s">
        <v>47</v>
      </c>
      <c r="G233" t="s">
        <v>155</v>
      </c>
      <c r="H233">
        <f t="shared" si="20"/>
        <v>9400000</v>
      </c>
      <c r="I233">
        <f t="shared" si="21"/>
        <v>1200000</v>
      </c>
      <c r="J233">
        <f t="shared" si="22"/>
        <v>1600000</v>
      </c>
      <c r="K233" s="2">
        <f t="shared" si="23"/>
        <v>0.1276595744680851</v>
      </c>
      <c r="L233" t="str">
        <f t="shared" si="24"/>
        <v>Tier 1</v>
      </c>
    </row>
    <row r="234" spans="1:12" x14ac:dyDescent="0.35">
      <c r="A234" s="1" t="s">
        <v>803</v>
      </c>
      <c r="B234">
        <v>238</v>
      </c>
      <c r="C234" t="s">
        <v>26</v>
      </c>
      <c r="D234" t="s">
        <v>804</v>
      </c>
      <c r="E234" t="s">
        <v>16</v>
      </c>
      <c r="F234" t="s">
        <v>805</v>
      </c>
      <c r="G234" t="s">
        <v>552</v>
      </c>
      <c r="H234">
        <f t="shared" si="20"/>
        <v>18300000</v>
      </c>
      <c r="I234">
        <f t="shared" si="21"/>
        <v>592300</v>
      </c>
      <c r="J234">
        <f t="shared" si="22"/>
        <v>793700</v>
      </c>
      <c r="K234" s="2">
        <f t="shared" si="23"/>
        <v>3.2366120218579236E-2</v>
      </c>
      <c r="L234" t="str">
        <f t="shared" si="24"/>
        <v>Tier 2</v>
      </c>
    </row>
    <row r="235" spans="1:12" x14ac:dyDescent="0.35">
      <c r="A235" s="1" t="s">
        <v>806</v>
      </c>
      <c r="B235">
        <v>239</v>
      </c>
      <c r="C235" t="s">
        <v>8</v>
      </c>
      <c r="D235" t="s">
        <v>807</v>
      </c>
      <c r="E235" t="s">
        <v>10</v>
      </c>
      <c r="F235" t="s">
        <v>808</v>
      </c>
      <c r="G235" t="s">
        <v>90</v>
      </c>
      <c r="H235">
        <f t="shared" si="20"/>
        <v>12900000</v>
      </c>
      <c r="I235">
        <f t="shared" si="21"/>
        <v>872100</v>
      </c>
      <c r="J235">
        <f t="shared" si="22"/>
        <v>1100000</v>
      </c>
      <c r="K235" s="2">
        <f t="shared" si="23"/>
        <v>6.7604651162790699E-2</v>
      </c>
      <c r="L235" t="str">
        <f t="shared" si="24"/>
        <v>Tier 2</v>
      </c>
    </row>
    <row r="236" spans="1:12" x14ac:dyDescent="0.35">
      <c r="A236" s="1" t="s">
        <v>809</v>
      </c>
      <c r="B236">
        <v>240</v>
      </c>
      <c r="C236" t="s">
        <v>364</v>
      </c>
      <c r="D236" t="s">
        <v>810</v>
      </c>
      <c r="E236" t="s">
        <v>42</v>
      </c>
      <c r="F236" t="s">
        <v>47</v>
      </c>
      <c r="G236" t="s">
        <v>48</v>
      </c>
      <c r="H236">
        <f t="shared" si="20"/>
        <v>7600000</v>
      </c>
      <c r="I236">
        <f t="shared" si="21"/>
        <v>1200000</v>
      </c>
      <c r="J236">
        <f t="shared" si="22"/>
        <v>1900000</v>
      </c>
      <c r="K236" s="2">
        <f t="shared" si="23"/>
        <v>0.15789473684210525</v>
      </c>
      <c r="L236" t="str">
        <f t="shared" si="24"/>
        <v>Tier 1</v>
      </c>
    </row>
    <row r="237" spans="1:12" x14ac:dyDescent="0.35">
      <c r="A237" s="1" t="s">
        <v>811</v>
      </c>
      <c r="B237">
        <v>241</v>
      </c>
      <c r="C237" t="s">
        <v>310</v>
      </c>
      <c r="D237" t="s">
        <v>812</v>
      </c>
      <c r="E237" t="s">
        <v>58</v>
      </c>
      <c r="F237" t="s">
        <v>86</v>
      </c>
      <c r="G237" t="s">
        <v>155</v>
      </c>
      <c r="H237">
        <f t="shared" si="20"/>
        <v>8700000</v>
      </c>
      <c r="I237">
        <f t="shared" si="21"/>
        <v>1300000</v>
      </c>
      <c r="J237">
        <f t="shared" si="22"/>
        <v>1600000</v>
      </c>
      <c r="K237" s="2">
        <f t="shared" si="23"/>
        <v>0.14942528735632185</v>
      </c>
      <c r="L237" t="str">
        <f t="shared" si="24"/>
        <v>Tier 1</v>
      </c>
    </row>
    <row r="238" spans="1:12" x14ac:dyDescent="0.35">
      <c r="A238" s="1" t="s">
        <v>813</v>
      </c>
      <c r="B238">
        <v>242</v>
      </c>
      <c r="C238" t="s">
        <v>814</v>
      </c>
      <c r="D238" t="s">
        <v>594</v>
      </c>
      <c r="E238" t="s">
        <v>10</v>
      </c>
      <c r="F238" t="s">
        <v>815</v>
      </c>
      <c r="G238" t="s">
        <v>816</v>
      </c>
      <c r="H238">
        <f t="shared" si="20"/>
        <v>15900000</v>
      </c>
      <c r="I238">
        <f t="shared" si="21"/>
        <v>752500</v>
      </c>
      <c r="J238">
        <f t="shared" si="22"/>
        <v>885800</v>
      </c>
      <c r="K238" s="2">
        <f t="shared" si="23"/>
        <v>4.7327044025157236E-2</v>
      </c>
      <c r="L238" t="str">
        <f t="shared" si="24"/>
        <v>Tier 2</v>
      </c>
    </row>
    <row r="239" spans="1:12" x14ac:dyDescent="0.35">
      <c r="A239" s="1" t="s">
        <v>817</v>
      </c>
      <c r="B239">
        <v>243</v>
      </c>
      <c r="C239" t="s">
        <v>26</v>
      </c>
      <c r="D239" t="s">
        <v>423</v>
      </c>
      <c r="E239" t="s">
        <v>22</v>
      </c>
      <c r="F239" t="s">
        <v>818</v>
      </c>
      <c r="G239" t="s">
        <v>47</v>
      </c>
      <c r="H239">
        <f t="shared" si="20"/>
        <v>12100000</v>
      </c>
      <c r="I239">
        <f t="shared" si="21"/>
        <v>909200</v>
      </c>
      <c r="J239">
        <f t="shared" si="22"/>
        <v>1200000</v>
      </c>
      <c r="K239" s="2">
        <f t="shared" si="23"/>
        <v>7.5140495867768595E-2</v>
      </c>
      <c r="L239" t="str">
        <f t="shared" si="24"/>
        <v>Tier 2</v>
      </c>
    </row>
    <row r="240" spans="1:12" x14ac:dyDescent="0.35">
      <c r="A240" s="1" t="s">
        <v>819</v>
      </c>
      <c r="B240">
        <v>244</v>
      </c>
      <c r="C240" t="s">
        <v>820</v>
      </c>
      <c r="D240" t="s">
        <v>821</v>
      </c>
      <c r="E240" t="s">
        <v>195</v>
      </c>
      <c r="F240" t="s">
        <v>822</v>
      </c>
      <c r="G240" t="s">
        <v>823</v>
      </c>
      <c r="H240">
        <f t="shared" si="20"/>
        <v>15200000</v>
      </c>
      <c r="I240">
        <f t="shared" si="21"/>
        <v>679400</v>
      </c>
      <c r="J240">
        <f t="shared" si="22"/>
        <v>923300</v>
      </c>
      <c r="K240" s="2">
        <f t="shared" si="23"/>
        <v>4.4697368421052631E-2</v>
      </c>
      <c r="L240" t="str">
        <f t="shared" si="24"/>
        <v>Tier 2</v>
      </c>
    </row>
    <row r="241" spans="1:12" x14ac:dyDescent="0.35">
      <c r="A241" s="1" t="s">
        <v>824</v>
      </c>
      <c r="B241">
        <v>245</v>
      </c>
      <c r="C241" t="s">
        <v>313</v>
      </c>
      <c r="D241" t="s">
        <v>147</v>
      </c>
      <c r="E241" t="s">
        <v>22</v>
      </c>
      <c r="F241" t="s">
        <v>825</v>
      </c>
      <c r="G241" t="s">
        <v>826</v>
      </c>
      <c r="H241">
        <f t="shared" si="20"/>
        <v>36000000</v>
      </c>
      <c r="I241">
        <f t="shared" si="21"/>
        <v>292100</v>
      </c>
      <c r="J241">
        <f t="shared" si="22"/>
        <v>382500</v>
      </c>
      <c r="K241" s="2">
        <f t="shared" si="23"/>
        <v>8.1138888888888892E-3</v>
      </c>
      <c r="L241" t="str">
        <f t="shared" si="24"/>
        <v>Tier 2</v>
      </c>
    </row>
    <row r="242" spans="1:12" x14ac:dyDescent="0.35">
      <c r="A242" s="1" t="s">
        <v>827</v>
      </c>
      <c r="B242">
        <v>246</v>
      </c>
      <c r="C242" t="s">
        <v>69</v>
      </c>
      <c r="D242" t="s">
        <v>419</v>
      </c>
      <c r="E242" t="s">
        <v>10</v>
      </c>
      <c r="F242" t="s">
        <v>828</v>
      </c>
      <c r="G242" t="s">
        <v>829</v>
      </c>
      <c r="H242">
        <f t="shared" si="20"/>
        <v>35400000</v>
      </c>
      <c r="I242">
        <f t="shared" si="21"/>
        <v>315200</v>
      </c>
      <c r="J242">
        <f t="shared" si="22"/>
        <v>385900</v>
      </c>
      <c r="K242" s="2">
        <f t="shared" si="23"/>
        <v>8.9039548022598874E-3</v>
      </c>
      <c r="L242" t="str">
        <f t="shared" si="24"/>
        <v>Tier 2</v>
      </c>
    </row>
    <row r="243" spans="1:12" hidden="1" x14ac:dyDescent="0.35">
      <c r="A243" s="1" t="s">
        <v>830</v>
      </c>
      <c r="B243">
        <v>247</v>
      </c>
      <c r="D243" t="s">
        <v>59</v>
      </c>
      <c r="E243" t="s">
        <v>22</v>
      </c>
      <c r="F243">
        <v>0</v>
      </c>
      <c r="G243" t="s">
        <v>171</v>
      </c>
      <c r="K243"/>
    </row>
    <row r="244" spans="1:12" x14ac:dyDescent="0.35">
      <c r="A244" s="1" t="s">
        <v>831</v>
      </c>
      <c r="B244">
        <v>248</v>
      </c>
      <c r="C244" t="s">
        <v>69</v>
      </c>
      <c r="D244" t="s">
        <v>832</v>
      </c>
      <c r="E244" t="s">
        <v>58</v>
      </c>
      <c r="F244" t="s">
        <v>90</v>
      </c>
      <c r="G244" t="s">
        <v>86</v>
      </c>
      <c r="H244">
        <f t="shared" ref="H244:H245" si="25">IF(RIGHT(D244,1)="M", VALUE(SUBSTITUTE(D244,"M",""))*1000000, VALUE(SUBSTITUTE(D244,"K",""))*1000)</f>
        <v>10200000</v>
      </c>
      <c r="I244">
        <f t="shared" ref="I244:I245" si="26">IF(RIGHT(F244,1)="M", VALUE(SUBSTITUTE(F244,"M",""))*1000000, VALUE(SUBSTITUTE(F244,"K",""))*1000)</f>
        <v>1100000</v>
      </c>
      <c r="J244">
        <f t="shared" ref="J244:J245" si="27">IF(RIGHT(G244,1)="M", VALUE(SUBSTITUTE(G244,"M",""))*1000000, VALUE(SUBSTITUTE(G244,"K",""))*1000)</f>
        <v>1300000</v>
      </c>
      <c r="K244" s="2">
        <f t="shared" ref="K244:K245" si="28">I244/H244</f>
        <v>0.10784313725490197</v>
      </c>
      <c r="L244" t="str">
        <f t="shared" ref="L244:L245" si="29">IF(H244&lt;10000000,"Tier 1",
 IF(H244&lt;50000000,"Tier 2",
 IF(H244&lt;100000000,"Tier 3",
 "Tier 4")))</f>
        <v>Tier 2</v>
      </c>
    </row>
    <row r="245" spans="1:12" x14ac:dyDescent="0.35">
      <c r="A245" s="1" t="s">
        <v>833</v>
      </c>
      <c r="B245">
        <v>249</v>
      </c>
      <c r="C245" t="s">
        <v>834</v>
      </c>
      <c r="D245" t="s">
        <v>835</v>
      </c>
      <c r="E245" t="s">
        <v>141</v>
      </c>
      <c r="F245" t="s">
        <v>836</v>
      </c>
      <c r="G245" t="s">
        <v>47</v>
      </c>
      <c r="H245">
        <f t="shared" si="25"/>
        <v>11100000</v>
      </c>
      <c r="I245">
        <f t="shared" si="26"/>
        <v>711700</v>
      </c>
      <c r="J245">
        <f t="shared" si="27"/>
        <v>1200000</v>
      </c>
      <c r="K245" s="2">
        <f t="shared" si="28"/>
        <v>6.4117117117117123E-2</v>
      </c>
      <c r="L245" t="str">
        <f t="shared" si="29"/>
        <v>Tier 2</v>
      </c>
    </row>
    <row r="246" spans="1:12" hidden="1" x14ac:dyDescent="0.35">
      <c r="A246" s="1" t="s">
        <v>837</v>
      </c>
      <c r="B246">
        <v>250</v>
      </c>
      <c r="D246" t="s">
        <v>94</v>
      </c>
      <c r="E246" t="s">
        <v>22</v>
      </c>
      <c r="F246">
        <v>0</v>
      </c>
      <c r="G246" t="s">
        <v>28</v>
      </c>
      <c r="K246"/>
    </row>
    <row r="247" spans="1:12" x14ac:dyDescent="0.35">
      <c r="A247" s="1" t="s">
        <v>838</v>
      </c>
      <c r="B247">
        <v>251</v>
      </c>
      <c r="C247" t="s">
        <v>634</v>
      </c>
      <c r="D247" t="s">
        <v>839</v>
      </c>
      <c r="E247" t="s">
        <v>141</v>
      </c>
      <c r="F247" t="s">
        <v>840</v>
      </c>
      <c r="G247" t="s">
        <v>841</v>
      </c>
      <c r="H247">
        <f t="shared" ref="H247:H268" si="30">IF(RIGHT(D247,1)="M", VALUE(SUBSTITUTE(D247,"M",""))*1000000, VALUE(SUBSTITUTE(D247,"K",""))*1000)</f>
        <v>22300000</v>
      </c>
      <c r="I247">
        <f t="shared" ref="I247:I268" si="31">IF(RIGHT(F247,1)="M", VALUE(SUBSTITUTE(F247,"M",""))*1000000, VALUE(SUBSTITUTE(F247,"K",""))*1000)</f>
        <v>517700.00000000006</v>
      </c>
      <c r="J247">
        <f t="shared" ref="J247:J268" si="32">IF(RIGHT(G247,1)="M", VALUE(SUBSTITUTE(G247,"M",""))*1000000, VALUE(SUBSTITUTE(G247,"K",""))*1000)</f>
        <v>591200</v>
      </c>
      <c r="K247" s="2">
        <f t="shared" ref="K247:K268" si="33">I247/H247</f>
        <v>2.3215246636771304E-2</v>
      </c>
      <c r="L247" t="str">
        <f t="shared" ref="L247:L268" si="34">IF(H247&lt;10000000,"Tier 1",
 IF(H247&lt;50000000,"Tier 2",
 IF(H247&lt;100000000,"Tier 3",
 "Tier 4")))</f>
        <v>Tier 2</v>
      </c>
    </row>
    <row r="248" spans="1:12" x14ac:dyDescent="0.35">
      <c r="A248" s="1" t="s">
        <v>842</v>
      </c>
      <c r="B248">
        <v>252</v>
      </c>
      <c r="C248" t="s">
        <v>26</v>
      </c>
      <c r="D248" t="s">
        <v>843</v>
      </c>
      <c r="E248" t="s">
        <v>279</v>
      </c>
      <c r="F248" t="s">
        <v>844</v>
      </c>
      <c r="G248" t="s">
        <v>845</v>
      </c>
      <c r="H248">
        <f t="shared" si="30"/>
        <v>15000000</v>
      </c>
      <c r="I248">
        <f t="shared" si="31"/>
        <v>605400</v>
      </c>
      <c r="J248">
        <f t="shared" si="32"/>
        <v>876000</v>
      </c>
      <c r="K248" s="2">
        <f t="shared" si="33"/>
        <v>4.036E-2</v>
      </c>
      <c r="L248" t="str">
        <f t="shared" si="34"/>
        <v>Tier 2</v>
      </c>
    </row>
    <row r="249" spans="1:12" x14ac:dyDescent="0.35">
      <c r="A249" s="1" t="s">
        <v>846</v>
      </c>
      <c r="B249">
        <v>253</v>
      </c>
      <c r="C249" t="s">
        <v>729</v>
      </c>
      <c r="D249" t="s">
        <v>847</v>
      </c>
      <c r="E249" t="s">
        <v>42</v>
      </c>
      <c r="F249" t="s">
        <v>848</v>
      </c>
      <c r="G249" t="s">
        <v>849</v>
      </c>
      <c r="H249">
        <f t="shared" si="30"/>
        <v>15300000</v>
      </c>
      <c r="I249">
        <f t="shared" si="31"/>
        <v>377500</v>
      </c>
      <c r="J249">
        <f t="shared" si="32"/>
        <v>855400</v>
      </c>
      <c r="K249" s="2">
        <f t="shared" si="33"/>
        <v>2.4673202614379084E-2</v>
      </c>
      <c r="L249" t="str">
        <f t="shared" si="34"/>
        <v>Tier 2</v>
      </c>
    </row>
    <row r="250" spans="1:12" x14ac:dyDescent="0.35">
      <c r="A250" s="1" t="s">
        <v>850</v>
      </c>
      <c r="B250">
        <v>254</v>
      </c>
      <c r="C250" t="s">
        <v>8</v>
      </c>
      <c r="D250" t="s">
        <v>851</v>
      </c>
      <c r="E250" t="s">
        <v>42</v>
      </c>
      <c r="F250" t="s">
        <v>852</v>
      </c>
      <c r="G250" t="s">
        <v>853</v>
      </c>
      <c r="H250">
        <f t="shared" si="30"/>
        <v>67400000</v>
      </c>
      <c r="I250">
        <f t="shared" si="31"/>
        <v>108800</v>
      </c>
      <c r="J250">
        <f t="shared" si="32"/>
        <v>192300</v>
      </c>
      <c r="K250" s="2">
        <f t="shared" si="33"/>
        <v>1.6142433234421366E-3</v>
      </c>
      <c r="L250" t="str">
        <f t="shared" si="34"/>
        <v>Tier 3</v>
      </c>
    </row>
    <row r="251" spans="1:12" x14ac:dyDescent="0.35">
      <c r="A251" s="1" t="s">
        <v>854</v>
      </c>
      <c r="B251">
        <v>255</v>
      </c>
      <c r="C251" t="s">
        <v>69</v>
      </c>
      <c r="D251" t="s">
        <v>303</v>
      </c>
      <c r="E251" t="s">
        <v>10</v>
      </c>
      <c r="F251" t="s">
        <v>855</v>
      </c>
      <c r="G251" t="s">
        <v>856</v>
      </c>
      <c r="H251">
        <f t="shared" si="30"/>
        <v>32299999.999999996</v>
      </c>
      <c r="I251">
        <f t="shared" si="31"/>
        <v>329900</v>
      </c>
      <c r="J251">
        <f t="shared" si="32"/>
        <v>402500</v>
      </c>
      <c r="K251" s="2">
        <f t="shared" si="33"/>
        <v>1.0213622291021672E-2</v>
      </c>
      <c r="L251" t="str">
        <f t="shared" si="34"/>
        <v>Tier 2</v>
      </c>
    </row>
    <row r="252" spans="1:12" x14ac:dyDescent="0.35">
      <c r="A252" s="1" t="s">
        <v>857</v>
      </c>
      <c r="B252">
        <v>256</v>
      </c>
      <c r="C252" t="s">
        <v>76</v>
      </c>
      <c r="D252" t="s">
        <v>858</v>
      </c>
      <c r="E252" t="s">
        <v>58</v>
      </c>
      <c r="F252" t="s">
        <v>90</v>
      </c>
      <c r="G252" t="s">
        <v>52</v>
      </c>
      <c r="H252">
        <f t="shared" si="30"/>
        <v>9300000</v>
      </c>
      <c r="I252">
        <f t="shared" si="31"/>
        <v>1100000</v>
      </c>
      <c r="J252">
        <f t="shared" si="32"/>
        <v>1400000</v>
      </c>
      <c r="K252" s="2">
        <f t="shared" si="33"/>
        <v>0.11827956989247312</v>
      </c>
      <c r="L252" t="str">
        <f t="shared" si="34"/>
        <v>Tier 1</v>
      </c>
    </row>
    <row r="253" spans="1:12" x14ac:dyDescent="0.35">
      <c r="A253" s="1" t="s">
        <v>859</v>
      </c>
      <c r="B253">
        <v>257</v>
      </c>
      <c r="C253" t="s">
        <v>26</v>
      </c>
      <c r="D253" t="s">
        <v>192</v>
      </c>
      <c r="E253" t="s">
        <v>16</v>
      </c>
      <c r="F253" t="s">
        <v>860</v>
      </c>
      <c r="G253" t="s">
        <v>861</v>
      </c>
      <c r="H253">
        <f t="shared" si="30"/>
        <v>45800000</v>
      </c>
      <c r="I253">
        <f t="shared" si="31"/>
        <v>204400</v>
      </c>
      <c r="J253">
        <f t="shared" si="32"/>
        <v>284400</v>
      </c>
      <c r="K253" s="2">
        <f t="shared" si="33"/>
        <v>4.4628820960698687E-3</v>
      </c>
      <c r="L253" t="str">
        <f t="shared" si="34"/>
        <v>Tier 2</v>
      </c>
    </row>
    <row r="254" spans="1:12" x14ac:dyDescent="0.35">
      <c r="A254" s="1" t="s">
        <v>862</v>
      </c>
      <c r="B254">
        <v>258</v>
      </c>
      <c r="C254" t="s">
        <v>26</v>
      </c>
      <c r="D254" t="s">
        <v>863</v>
      </c>
      <c r="E254" t="s">
        <v>141</v>
      </c>
      <c r="F254" t="s">
        <v>864</v>
      </c>
      <c r="G254" t="s">
        <v>865</v>
      </c>
      <c r="H254">
        <f t="shared" si="30"/>
        <v>32799999.999999996</v>
      </c>
      <c r="I254">
        <f t="shared" si="31"/>
        <v>324200</v>
      </c>
      <c r="J254">
        <f t="shared" si="32"/>
        <v>389700</v>
      </c>
      <c r="K254" s="2">
        <f t="shared" si="33"/>
        <v>9.8841463414634165E-3</v>
      </c>
      <c r="L254" t="str">
        <f t="shared" si="34"/>
        <v>Tier 2</v>
      </c>
    </row>
    <row r="255" spans="1:12" x14ac:dyDescent="0.35">
      <c r="A255" s="1" t="s">
        <v>866</v>
      </c>
      <c r="B255">
        <v>259</v>
      </c>
      <c r="C255" t="s">
        <v>867</v>
      </c>
      <c r="D255" t="s">
        <v>591</v>
      </c>
      <c r="E255" t="s">
        <v>58</v>
      </c>
      <c r="F255" t="s">
        <v>868</v>
      </c>
      <c r="G255" t="s">
        <v>869</v>
      </c>
      <c r="H255">
        <f t="shared" si="30"/>
        <v>21200000</v>
      </c>
      <c r="I255">
        <f t="shared" si="31"/>
        <v>475600</v>
      </c>
      <c r="J255">
        <f t="shared" si="32"/>
        <v>602800</v>
      </c>
      <c r="K255" s="2">
        <f t="shared" si="33"/>
        <v>2.2433962264150942E-2</v>
      </c>
      <c r="L255" t="str">
        <f t="shared" si="34"/>
        <v>Tier 2</v>
      </c>
    </row>
    <row r="256" spans="1:12" x14ac:dyDescent="0.35">
      <c r="A256" s="1" t="s">
        <v>870</v>
      </c>
      <c r="B256">
        <v>260</v>
      </c>
      <c r="C256" t="s">
        <v>69</v>
      </c>
      <c r="D256" t="s">
        <v>871</v>
      </c>
      <c r="E256" t="s">
        <v>10</v>
      </c>
      <c r="F256" t="s">
        <v>872</v>
      </c>
      <c r="G256" t="s">
        <v>873</v>
      </c>
      <c r="H256">
        <f t="shared" si="30"/>
        <v>14900000</v>
      </c>
      <c r="I256">
        <f t="shared" si="31"/>
        <v>702100</v>
      </c>
      <c r="J256">
        <f t="shared" si="32"/>
        <v>852800</v>
      </c>
      <c r="K256" s="2">
        <f t="shared" si="33"/>
        <v>4.7120805369127515E-2</v>
      </c>
      <c r="L256" t="str">
        <f t="shared" si="34"/>
        <v>Tier 2</v>
      </c>
    </row>
    <row r="257" spans="1:12" x14ac:dyDescent="0.35">
      <c r="A257" s="1" t="s">
        <v>874</v>
      </c>
      <c r="B257">
        <v>261</v>
      </c>
      <c r="C257" t="s">
        <v>26</v>
      </c>
      <c r="D257" t="s">
        <v>875</v>
      </c>
      <c r="E257" t="s">
        <v>114</v>
      </c>
      <c r="F257" t="s">
        <v>876</v>
      </c>
      <c r="G257" t="s">
        <v>877</v>
      </c>
      <c r="H257">
        <f t="shared" si="30"/>
        <v>18700000</v>
      </c>
      <c r="I257">
        <f t="shared" si="31"/>
        <v>559600</v>
      </c>
      <c r="J257">
        <f t="shared" si="32"/>
        <v>681100</v>
      </c>
      <c r="K257" s="2">
        <f t="shared" si="33"/>
        <v>2.992513368983957E-2</v>
      </c>
      <c r="L257" t="str">
        <f t="shared" si="34"/>
        <v>Tier 2</v>
      </c>
    </row>
    <row r="258" spans="1:12" x14ac:dyDescent="0.35">
      <c r="A258" s="1" t="s">
        <v>878</v>
      </c>
      <c r="B258">
        <v>262</v>
      </c>
      <c r="C258" t="s">
        <v>879</v>
      </c>
      <c r="D258" t="s">
        <v>425</v>
      </c>
      <c r="E258" t="s">
        <v>10</v>
      </c>
      <c r="F258" t="s">
        <v>880</v>
      </c>
      <c r="G258" t="s">
        <v>881</v>
      </c>
      <c r="H258">
        <f t="shared" si="30"/>
        <v>53100000</v>
      </c>
      <c r="I258">
        <f t="shared" si="31"/>
        <v>177100</v>
      </c>
      <c r="J258">
        <f t="shared" si="32"/>
        <v>238700</v>
      </c>
      <c r="K258" s="2">
        <f t="shared" si="33"/>
        <v>3.3352165725047079E-3</v>
      </c>
      <c r="L258" t="str">
        <f t="shared" si="34"/>
        <v>Tier 3</v>
      </c>
    </row>
    <row r="259" spans="1:12" x14ac:dyDescent="0.35">
      <c r="A259" s="1" t="s">
        <v>882</v>
      </c>
      <c r="B259">
        <v>263</v>
      </c>
      <c r="C259" t="s">
        <v>69</v>
      </c>
      <c r="D259" t="s">
        <v>883</v>
      </c>
      <c r="E259" t="s">
        <v>58</v>
      </c>
      <c r="F259" t="s">
        <v>884</v>
      </c>
      <c r="G259" t="s">
        <v>885</v>
      </c>
      <c r="H259">
        <f t="shared" si="30"/>
        <v>13700000</v>
      </c>
      <c r="I259">
        <f t="shared" si="31"/>
        <v>753300</v>
      </c>
      <c r="J259">
        <f t="shared" si="32"/>
        <v>918100</v>
      </c>
      <c r="K259" s="2">
        <f t="shared" si="33"/>
        <v>5.4985401459854012E-2</v>
      </c>
      <c r="L259" t="str">
        <f t="shared" si="34"/>
        <v>Tier 2</v>
      </c>
    </row>
    <row r="260" spans="1:12" x14ac:dyDescent="0.35">
      <c r="A260" s="1" t="s">
        <v>886</v>
      </c>
      <c r="B260">
        <v>264</v>
      </c>
      <c r="C260" t="s">
        <v>26</v>
      </c>
      <c r="D260" t="s">
        <v>543</v>
      </c>
      <c r="E260" t="s">
        <v>141</v>
      </c>
      <c r="F260" t="s">
        <v>887</v>
      </c>
      <c r="G260" t="s">
        <v>888</v>
      </c>
      <c r="H260">
        <f t="shared" si="30"/>
        <v>13600000</v>
      </c>
      <c r="I260">
        <f t="shared" si="31"/>
        <v>712400</v>
      </c>
      <c r="J260">
        <f t="shared" si="32"/>
        <v>926900</v>
      </c>
      <c r="K260" s="2">
        <f t="shared" si="33"/>
        <v>5.238235294117647E-2</v>
      </c>
      <c r="L260" t="str">
        <f t="shared" si="34"/>
        <v>Tier 2</v>
      </c>
    </row>
    <row r="261" spans="1:12" x14ac:dyDescent="0.35">
      <c r="A261" s="1" t="s">
        <v>889</v>
      </c>
      <c r="B261">
        <v>265</v>
      </c>
      <c r="C261" t="s">
        <v>26</v>
      </c>
      <c r="D261" t="s">
        <v>890</v>
      </c>
      <c r="E261" t="s">
        <v>42</v>
      </c>
      <c r="F261" t="s">
        <v>891</v>
      </c>
      <c r="G261" t="s">
        <v>892</v>
      </c>
      <c r="H261">
        <f t="shared" si="30"/>
        <v>44000000</v>
      </c>
      <c r="I261">
        <f t="shared" si="31"/>
        <v>210600</v>
      </c>
      <c r="J261">
        <f t="shared" si="32"/>
        <v>284700</v>
      </c>
      <c r="K261" s="2">
        <f t="shared" si="33"/>
        <v>4.7863636363636363E-3</v>
      </c>
      <c r="L261" t="str">
        <f t="shared" si="34"/>
        <v>Tier 2</v>
      </c>
    </row>
    <row r="262" spans="1:12" x14ac:dyDescent="0.35">
      <c r="A262" s="1" t="s">
        <v>893</v>
      </c>
      <c r="B262">
        <v>266</v>
      </c>
      <c r="C262" t="s">
        <v>69</v>
      </c>
      <c r="D262" t="s">
        <v>576</v>
      </c>
      <c r="E262" t="s">
        <v>10</v>
      </c>
      <c r="F262" t="s">
        <v>894</v>
      </c>
      <c r="G262" t="s">
        <v>895</v>
      </c>
      <c r="H262">
        <f t="shared" si="30"/>
        <v>14100000</v>
      </c>
      <c r="I262">
        <f t="shared" si="31"/>
        <v>752900</v>
      </c>
      <c r="J262">
        <f t="shared" si="32"/>
        <v>883900</v>
      </c>
      <c r="K262" s="2">
        <f t="shared" si="33"/>
        <v>5.3397163120567373E-2</v>
      </c>
      <c r="L262" t="str">
        <f t="shared" si="34"/>
        <v>Tier 2</v>
      </c>
    </row>
    <row r="263" spans="1:12" x14ac:dyDescent="0.35">
      <c r="A263" s="1" t="s">
        <v>896</v>
      </c>
      <c r="B263">
        <v>267</v>
      </c>
      <c r="C263" t="s">
        <v>766</v>
      </c>
      <c r="D263" t="s">
        <v>897</v>
      </c>
      <c r="E263" t="s">
        <v>10</v>
      </c>
      <c r="F263" t="s">
        <v>898</v>
      </c>
      <c r="G263" t="s">
        <v>899</v>
      </c>
      <c r="H263">
        <f t="shared" si="30"/>
        <v>27300000</v>
      </c>
      <c r="I263">
        <f t="shared" si="31"/>
        <v>353400</v>
      </c>
      <c r="J263">
        <f t="shared" si="32"/>
        <v>460100</v>
      </c>
      <c r="K263" s="2">
        <f t="shared" si="33"/>
        <v>1.2945054945054945E-2</v>
      </c>
      <c r="L263" t="str">
        <f t="shared" si="34"/>
        <v>Tier 2</v>
      </c>
    </row>
    <row r="264" spans="1:12" x14ac:dyDescent="0.35">
      <c r="A264" s="1" t="s">
        <v>900</v>
      </c>
      <c r="B264">
        <v>268</v>
      </c>
      <c r="C264" t="s">
        <v>572</v>
      </c>
      <c r="D264" t="s">
        <v>901</v>
      </c>
      <c r="E264" t="s">
        <v>10</v>
      </c>
      <c r="F264" t="s">
        <v>902</v>
      </c>
      <c r="G264" t="s">
        <v>903</v>
      </c>
      <c r="H264">
        <f t="shared" si="30"/>
        <v>35100000</v>
      </c>
      <c r="I264">
        <f t="shared" si="31"/>
        <v>289900</v>
      </c>
      <c r="J264">
        <f t="shared" si="32"/>
        <v>346500</v>
      </c>
      <c r="K264" s="2">
        <f t="shared" si="33"/>
        <v>8.2592592592592596E-3</v>
      </c>
      <c r="L264" t="str">
        <f t="shared" si="34"/>
        <v>Tier 2</v>
      </c>
    </row>
    <row r="265" spans="1:12" x14ac:dyDescent="0.35">
      <c r="A265" s="1" t="s">
        <v>904</v>
      </c>
      <c r="B265">
        <v>269</v>
      </c>
      <c r="C265" t="s">
        <v>26</v>
      </c>
      <c r="D265" t="s">
        <v>905</v>
      </c>
      <c r="E265" t="s">
        <v>58</v>
      </c>
      <c r="F265" t="s">
        <v>906</v>
      </c>
      <c r="G265" t="s">
        <v>907</v>
      </c>
      <c r="H265">
        <f t="shared" si="30"/>
        <v>14200000</v>
      </c>
      <c r="I265">
        <f t="shared" si="31"/>
        <v>814800</v>
      </c>
      <c r="J265">
        <f t="shared" si="32"/>
        <v>865900</v>
      </c>
      <c r="K265" s="2">
        <f t="shared" si="33"/>
        <v>5.7380281690140846E-2</v>
      </c>
      <c r="L265" t="str">
        <f t="shared" si="34"/>
        <v>Tier 2</v>
      </c>
    </row>
    <row r="266" spans="1:12" x14ac:dyDescent="0.35">
      <c r="A266" s="1" t="s">
        <v>908</v>
      </c>
      <c r="B266">
        <v>270</v>
      </c>
      <c r="C266" t="s">
        <v>69</v>
      </c>
      <c r="D266" t="s">
        <v>909</v>
      </c>
      <c r="E266" t="s">
        <v>10</v>
      </c>
      <c r="F266" t="s">
        <v>910</v>
      </c>
      <c r="G266" t="s">
        <v>911</v>
      </c>
      <c r="H266">
        <f t="shared" si="30"/>
        <v>43200000</v>
      </c>
      <c r="I266">
        <f t="shared" si="31"/>
        <v>227700</v>
      </c>
      <c r="J266">
        <f t="shared" si="32"/>
        <v>279500</v>
      </c>
      <c r="K266" s="2">
        <f t="shared" si="33"/>
        <v>5.2708333333333331E-3</v>
      </c>
      <c r="L266" t="str">
        <f t="shared" si="34"/>
        <v>Tier 2</v>
      </c>
    </row>
    <row r="267" spans="1:12" x14ac:dyDescent="0.35">
      <c r="A267" s="1" t="s">
        <v>912</v>
      </c>
      <c r="B267">
        <v>271</v>
      </c>
      <c r="C267" t="s">
        <v>26</v>
      </c>
      <c r="D267" t="s">
        <v>913</v>
      </c>
      <c r="E267" t="s">
        <v>22</v>
      </c>
      <c r="F267" t="s">
        <v>914</v>
      </c>
      <c r="G267" t="s">
        <v>915</v>
      </c>
      <c r="H267">
        <f t="shared" si="30"/>
        <v>13100000</v>
      </c>
      <c r="I267">
        <f t="shared" si="31"/>
        <v>472500</v>
      </c>
      <c r="J267">
        <f t="shared" si="32"/>
        <v>926000</v>
      </c>
      <c r="K267" s="2">
        <f t="shared" si="33"/>
        <v>3.6068702290076339E-2</v>
      </c>
      <c r="L267" t="str">
        <f t="shared" si="34"/>
        <v>Tier 2</v>
      </c>
    </row>
    <row r="268" spans="1:12" x14ac:dyDescent="0.35">
      <c r="A268" s="1" t="s">
        <v>916</v>
      </c>
      <c r="B268">
        <v>272</v>
      </c>
      <c r="C268" t="s">
        <v>76</v>
      </c>
      <c r="D268" t="s">
        <v>917</v>
      </c>
      <c r="E268" t="s">
        <v>58</v>
      </c>
      <c r="F268" t="s">
        <v>47</v>
      </c>
      <c r="G268" t="s">
        <v>135</v>
      </c>
      <c r="H268">
        <f t="shared" si="30"/>
        <v>8000000</v>
      </c>
      <c r="I268">
        <f t="shared" si="31"/>
        <v>1200000</v>
      </c>
      <c r="J268">
        <f t="shared" si="32"/>
        <v>1500000</v>
      </c>
      <c r="K268" s="2">
        <f t="shared" si="33"/>
        <v>0.15</v>
      </c>
      <c r="L268" t="str">
        <f t="shared" si="34"/>
        <v>Tier 1</v>
      </c>
    </row>
    <row r="269" spans="1:12" hidden="1" x14ac:dyDescent="0.35">
      <c r="A269" s="1" t="s">
        <v>918</v>
      </c>
      <c r="B269">
        <v>273</v>
      </c>
      <c r="D269" t="s">
        <v>12</v>
      </c>
      <c r="E269" t="s">
        <v>22</v>
      </c>
      <c r="F269">
        <v>0</v>
      </c>
      <c r="G269" t="s">
        <v>48</v>
      </c>
      <c r="K269"/>
    </row>
    <row r="270" spans="1:12" x14ac:dyDescent="0.35">
      <c r="A270" s="1" t="s">
        <v>919</v>
      </c>
      <c r="B270">
        <v>274</v>
      </c>
      <c r="C270" t="s">
        <v>920</v>
      </c>
      <c r="D270" t="s">
        <v>630</v>
      </c>
      <c r="E270" t="s">
        <v>10</v>
      </c>
      <c r="F270" t="s">
        <v>921</v>
      </c>
      <c r="G270" t="s">
        <v>922</v>
      </c>
      <c r="H270">
        <f>IF(RIGHT(D270,1)="M", VALUE(SUBSTITUTE(D270,"M",""))*1000000, VALUE(SUBSTITUTE(D270,"K",""))*1000)</f>
        <v>20500000</v>
      </c>
      <c r="I270">
        <f>IF(RIGHT(F270,1)="M", VALUE(SUBSTITUTE(F270,"M",""))*1000000, VALUE(SUBSTITUTE(F270,"K",""))*1000)</f>
        <v>487200</v>
      </c>
      <c r="J270">
        <f>IF(RIGHT(G270,1)="M", VALUE(SUBSTITUTE(G270,"M",""))*1000000, VALUE(SUBSTITUTE(G270,"K",""))*1000)</f>
        <v>587500</v>
      </c>
      <c r="K270" s="2">
        <f>I270/H270</f>
        <v>2.3765853658536586E-2</v>
      </c>
      <c r="L270" t="str">
        <f>IF(H270&lt;10000000,"Tier 1",
 IF(H270&lt;50000000,"Tier 2",
 IF(H270&lt;100000000,"Tier 3",
 "Tier 4")))</f>
        <v>Tier 2</v>
      </c>
    </row>
    <row r="271" spans="1:12" hidden="1" x14ac:dyDescent="0.35">
      <c r="A271" s="1" t="s">
        <v>923</v>
      </c>
      <c r="B271">
        <v>275</v>
      </c>
      <c r="D271" t="s">
        <v>34</v>
      </c>
      <c r="E271" t="s">
        <v>22</v>
      </c>
      <c r="F271">
        <v>0</v>
      </c>
      <c r="G271" t="s">
        <v>67</v>
      </c>
      <c r="K271"/>
    </row>
    <row r="272" spans="1:12" x14ac:dyDescent="0.35">
      <c r="A272" s="1" t="s">
        <v>924</v>
      </c>
      <c r="B272">
        <v>276</v>
      </c>
      <c r="C272" t="s">
        <v>26</v>
      </c>
      <c r="D272" t="s">
        <v>538</v>
      </c>
      <c r="E272" t="s">
        <v>22</v>
      </c>
      <c r="F272" t="s">
        <v>925</v>
      </c>
      <c r="G272" t="s">
        <v>926</v>
      </c>
      <c r="H272">
        <f>IF(RIGHT(D272,1)="M", VALUE(SUBSTITUTE(D272,"M",""))*1000000, VALUE(SUBSTITUTE(D272,"K",""))*1000)</f>
        <v>24400000</v>
      </c>
      <c r="I272">
        <f>IF(RIGHT(F272,1)="M", VALUE(SUBSTITUTE(F272,"M",""))*1000000, VALUE(SUBSTITUTE(F272,"K",""))*1000)</f>
        <v>350900</v>
      </c>
      <c r="J272">
        <f>IF(RIGHT(G272,1)="M", VALUE(SUBSTITUTE(G272,"M",""))*1000000, VALUE(SUBSTITUTE(G272,"K",""))*1000)</f>
        <v>489800</v>
      </c>
      <c r="K272" s="2">
        <f>I272/H272</f>
        <v>1.4381147540983607E-2</v>
      </c>
      <c r="L272" t="str">
        <f>IF(H272&lt;10000000,"Tier 1",
 IF(H272&lt;50000000,"Tier 2",
 IF(H272&lt;100000000,"Tier 3",
 "Tier 4")))</f>
        <v>Tier 2</v>
      </c>
    </row>
    <row r="273" spans="1:12" hidden="1" x14ac:dyDescent="0.35">
      <c r="A273" s="1" t="s">
        <v>927</v>
      </c>
      <c r="B273">
        <v>277</v>
      </c>
      <c r="C273" t="s">
        <v>76</v>
      </c>
      <c r="D273" t="s">
        <v>71</v>
      </c>
      <c r="F273">
        <v>0</v>
      </c>
      <c r="G273" t="s">
        <v>67</v>
      </c>
      <c r="K273"/>
    </row>
    <row r="274" spans="1:12" x14ac:dyDescent="0.35">
      <c r="A274" s="1" t="s">
        <v>928</v>
      </c>
      <c r="B274">
        <v>279</v>
      </c>
      <c r="C274" t="s">
        <v>313</v>
      </c>
      <c r="D274" t="s">
        <v>929</v>
      </c>
      <c r="E274" t="s">
        <v>58</v>
      </c>
      <c r="F274" t="s">
        <v>930</v>
      </c>
      <c r="G274" t="s">
        <v>931</v>
      </c>
      <c r="H274">
        <f t="shared" ref="H274:H277" si="35">IF(RIGHT(D274,1)="M", VALUE(SUBSTITUTE(D274,"M",""))*1000000, VALUE(SUBSTITUTE(D274,"K",""))*1000)</f>
        <v>12500000</v>
      </c>
      <c r="I274">
        <f t="shared" ref="I274:I277" si="36">IF(RIGHT(F274,1)="M", VALUE(SUBSTITUTE(F274,"M",""))*1000000, VALUE(SUBSTITUTE(F274,"K",""))*1000)</f>
        <v>743900</v>
      </c>
      <c r="J274">
        <f t="shared" ref="J274:J277" si="37">IF(RIGHT(G274,1)="M", VALUE(SUBSTITUTE(G274,"M",""))*1000000, VALUE(SUBSTITUTE(G274,"K",""))*1000)</f>
        <v>932800</v>
      </c>
      <c r="K274" s="2">
        <f t="shared" ref="K274:K277" si="38">I274/H274</f>
        <v>5.9512000000000002E-2</v>
      </c>
      <c r="L274" t="str">
        <f t="shared" ref="L274:L277" si="39">IF(H274&lt;10000000,"Tier 1",
 IF(H274&lt;50000000,"Tier 2",
 IF(H274&lt;100000000,"Tier 3",
 "Tier 4")))</f>
        <v>Tier 2</v>
      </c>
    </row>
    <row r="275" spans="1:12" x14ac:dyDescent="0.35">
      <c r="A275" s="1" t="s">
        <v>932</v>
      </c>
      <c r="B275">
        <v>280</v>
      </c>
      <c r="C275" t="s">
        <v>26</v>
      </c>
      <c r="D275" t="s">
        <v>933</v>
      </c>
      <c r="E275" t="s">
        <v>22</v>
      </c>
      <c r="F275" t="s">
        <v>934</v>
      </c>
      <c r="G275" t="s">
        <v>935</v>
      </c>
      <c r="H275">
        <f t="shared" si="35"/>
        <v>16500000</v>
      </c>
      <c r="I275">
        <f t="shared" si="36"/>
        <v>491100</v>
      </c>
      <c r="J275">
        <f t="shared" si="37"/>
        <v>697700</v>
      </c>
      <c r="K275" s="2">
        <f t="shared" si="38"/>
        <v>2.9763636363636364E-2</v>
      </c>
      <c r="L275" t="str">
        <f t="shared" si="39"/>
        <v>Tier 2</v>
      </c>
    </row>
    <row r="276" spans="1:12" x14ac:dyDescent="0.35">
      <c r="A276" s="1" t="s">
        <v>936</v>
      </c>
      <c r="B276">
        <v>281</v>
      </c>
      <c r="C276" t="s">
        <v>69</v>
      </c>
      <c r="D276" t="s">
        <v>677</v>
      </c>
      <c r="E276" t="s">
        <v>10</v>
      </c>
      <c r="F276" t="s">
        <v>937</v>
      </c>
      <c r="G276" t="s">
        <v>938</v>
      </c>
      <c r="H276">
        <f t="shared" si="35"/>
        <v>14600000</v>
      </c>
      <c r="I276">
        <f t="shared" si="36"/>
        <v>638400</v>
      </c>
      <c r="J276">
        <f t="shared" si="37"/>
        <v>780400</v>
      </c>
      <c r="K276" s="2">
        <f t="shared" si="38"/>
        <v>4.3726027397260274E-2</v>
      </c>
      <c r="L276" t="str">
        <f t="shared" si="39"/>
        <v>Tier 2</v>
      </c>
    </row>
    <row r="277" spans="1:12" x14ac:dyDescent="0.35">
      <c r="A277" s="1" t="s">
        <v>939</v>
      </c>
      <c r="B277">
        <v>282</v>
      </c>
      <c r="C277" t="s">
        <v>940</v>
      </c>
      <c r="D277" t="s">
        <v>871</v>
      </c>
      <c r="E277" t="s">
        <v>42</v>
      </c>
      <c r="F277" t="s">
        <v>941</v>
      </c>
      <c r="G277" t="s">
        <v>942</v>
      </c>
      <c r="H277">
        <f t="shared" si="35"/>
        <v>14900000</v>
      </c>
      <c r="I277">
        <f t="shared" si="36"/>
        <v>534700</v>
      </c>
      <c r="J277">
        <f t="shared" si="37"/>
        <v>766600</v>
      </c>
      <c r="K277" s="2">
        <f t="shared" si="38"/>
        <v>3.5885906040268457E-2</v>
      </c>
      <c r="L277" t="str">
        <f t="shared" si="39"/>
        <v>Tier 2</v>
      </c>
    </row>
    <row r="278" spans="1:12" hidden="1" x14ac:dyDescent="0.35">
      <c r="A278" s="1" t="s">
        <v>943</v>
      </c>
      <c r="B278">
        <v>283</v>
      </c>
      <c r="D278" t="s">
        <v>11</v>
      </c>
      <c r="E278" t="s">
        <v>22</v>
      </c>
      <c r="F278">
        <v>0</v>
      </c>
      <c r="G278" t="s">
        <v>67</v>
      </c>
      <c r="K278"/>
    </row>
    <row r="279" spans="1:12" x14ac:dyDescent="0.35">
      <c r="A279" s="1" t="s">
        <v>944</v>
      </c>
      <c r="B279">
        <v>284</v>
      </c>
      <c r="C279" t="s">
        <v>310</v>
      </c>
      <c r="D279" t="s">
        <v>945</v>
      </c>
      <c r="E279" t="s">
        <v>22</v>
      </c>
      <c r="F279" t="s">
        <v>946</v>
      </c>
      <c r="G279" t="s">
        <v>52</v>
      </c>
      <c r="H279">
        <f t="shared" ref="H279:H293" si="40">IF(RIGHT(D279,1)="M", VALUE(SUBSTITUTE(D279,"M",""))*1000000, VALUE(SUBSTITUTE(D279,"K",""))*1000)</f>
        <v>8199999.9999999991</v>
      </c>
      <c r="I279">
        <f t="shared" ref="I279:I293" si="41">IF(RIGHT(F279,1)="M", VALUE(SUBSTITUTE(F279,"M",""))*1000000, VALUE(SUBSTITUTE(F279,"K",""))*1000)</f>
        <v>831000</v>
      </c>
      <c r="J279">
        <f t="shared" ref="J279:J293" si="42">IF(RIGHT(G279,1)="M", VALUE(SUBSTITUTE(G279,"M",""))*1000000, VALUE(SUBSTITUTE(G279,"K",""))*1000)</f>
        <v>1400000</v>
      </c>
      <c r="K279" s="2">
        <f t="shared" ref="K279:K293" si="43">I279/H279</f>
        <v>0.10134146341463415</v>
      </c>
      <c r="L279" t="str">
        <f t="shared" ref="L279:L293" si="44">IF(H279&lt;10000000,"Tier 1",
 IF(H279&lt;50000000,"Tier 2",
 IF(H279&lt;100000000,"Tier 3",
 "Tier 4")))</f>
        <v>Tier 1</v>
      </c>
    </row>
    <row r="280" spans="1:12" x14ac:dyDescent="0.35">
      <c r="A280" s="1" t="s">
        <v>947</v>
      </c>
      <c r="B280">
        <v>285</v>
      </c>
      <c r="C280" t="s">
        <v>948</v>
      </c>
      <c r="D280" t="s">
        <v>949</v>
      </c>
      <c r="E280" t="s">
        <v>22</v>
      </c>
      <c r="F280" t="s">
        <v>950</v>
      </c>
      <c r="G280" t="s">
        <v>951</v>
      </c>
      <c r="H280">
        <f t="shared" si="40"/>
        <v>33800000</v>
      </c>
      <c r="I280">
        <f t="shared" si="41"/>
        <v>234100</v>
      </c>
      <c r="J280">
        <f t="shared" si="42"/>
        <v>326700</v>
      </c>
      <c r="K280" s="2">
        <f t="shared" si="43"/>
        <v>6.9260355029585798E-3</v>
      </c>
      <c r="L280" t="str">
        <f t="shared" si="44"/>
        <v>Tier 2</v>
      </c>
    </row>
    <row r="281" spans="1:12" x14ac:dyDescent="0.35">
      <c r="A281" s="1" t="s">
        <v>952</v>
      </c>
      <c r="B281">
        <v>286</v>
      </c>
      <c r="C281" t="s">
        <v>69</v>
      </c>
      <c r="D281" t="s">
        <v>645</v>
      </c>
      <c r="E281" t="s">
        <v>10</v>
      </c>
      <c r="F281" t="s">
        <v>953</v>
      </c>
      <c r="G281" t="s">
        <v>954</v>
      </c>
      <c r="H281">
        <f t="shared" si="40"/>
        <v>24300000</v>
      </c>
      <c r="I281">
        <f t="shared" si="41"/>
        <v>400500</v>
      </c>
      <c r="J281">
        <f t="shared" si="42"/>
        <v>453700</v>
      </c>
      <c r="K281" s="2">
        <f t="shared" si="43"/>
        <v>1.6481481481481482E-2</v>
      </c>
      <c r="L281" t="str">
        <f t="shared" si="44"/>
        <v>Tier 2</v>
      </c>
    </row>
    <row r="282" spans="1:12" x14ac:dyDescent="0.35">
      <c r="A282" s="1" t="s">
        <v>955</v>
      </c>
      <c r="B282">
        <v>287</v>
      </c>
      <c r="C282" t="s">
        <v>956</v>
      </c>
      <c r="D282" t="s">
        <v>239</v>
      </c>
      <c r="E282" t="s">
        <v>22</v>
      </c>
      <c r="F282" t="s">
        <v>957</v>
      </c>
      <c r="G282" t="s">
        <v>958</v>
      </c>
      <c r="H282">
        <f t="shared" si="40"/>
        <v>48900000</v>
      </c>
      <c r="I282">
        <f t="shared" si="41"/>
        <v>148300</v>
      </c>
      <c r="J282">
        <f t="shared" si="42"/>
        <v>224200</v>
      </c>
      <c r="K282" s="2">
        <f t="shared" si="43"/>
        <v>3.0327198364008181E-3</v>
      </c>
      <c r="L282" t="str">
        <f t="shared" si="44"/>
        <v>Tier 2</v>
      </c>
    </row>
    <row r="283" spans="1:12" x14ac:dyDescent="0.35">
      <c r="A283" s="1" t="s">
        <v>959</v>
      </c>
      <c r="B283">
        <v>288</v>
      </c>
      <c r="C283" t="s">
        <v>313</v>
      </c>
      <c r="D283" t="s">
        <v>744</v>
      </c>
      <c r="E283" t="s">
        <v>42</v>
      </c>
      <c r="F283" t="s">
        <v>960</v>
      </c>
      <c r="G283" t="s">
        <v>961</v>
      </c>
      <c r="H283">
        <f t="shared" si="40"/>
        <v>15500000</v>
      </c>
      <c r="I283">
        <f t="shared" si="41"/>
        <v>452300</v>
      </c>
      <c r="J283">
        <f t="shared" si="42"/>
        <v>705700</v>
      </c>
      <c r="K283" s="2">
        <f t="shared" si="43"/>
        <v>2.9180645161290323E-2</v>
      </c>
      <c r="L283" t="str">
        <f t="shared" si="44"/>
        <v>Tier 2</v>
      </c>
    </row>
    <row r="284" spans="1:12" x14ac:dyDescent="0.35">
      <c r="A284" s="1" t="s">
        <v>962</v>
      </c>
      <c r="B284">
        <v>289</v>
      </c>
      <c r="C284" t="s">
        <v>963</v>
      </c>
      <c r="D284" t="s">
        <v>964</v>
      </c>
      <c r="E284" t="s">
        <v>16</v>
      </c>
      <c r="F284" t="s">
        <v>499</v>
      </c>
      <c r="G284" t="s">
        <v>965</v>
      </c>
      <c r="H284">
        <f t="shared" si="40"/>
        <v>14700000</v>
      </c>
      <c r="I284">
        <f t="shared" si="41"/>
        <v>342300</v>
      </c>
      <c r="J284">
        <f t="shared" si="42"/>
        <v>741500</v>
      </c>
      <c r="K284" s="2">
        <f t="shared" si="43"/>
        <v>2.3285714285714285E-2</v>
      </c>
      <c r="L284" t="str">
        <f t="shared" si="44"/>
        <v>Tier 2</v>
      </c>
    </row>
    <row r="285" spans="1:12" x14ac:dyDescent="0.35">
      <c r="A285" s="1" t="s">
        <v>966</v>
      </c>
      <c r="B285">
        <v>290</v>
      </c>
      <c r="C285" t="s">
        <v>26</v>
      </c>
      <c r="D285" t="s">
        <v>588</v>
      </c>
      <c r="E285" t="s">
        <v>58</v>
      </c>
      <c r="F285" t="s">
        <v>967</v>
      </c>
      <c r="G285" t="s">
        <v>90</v>
      </c>
      <c r="H285">
        <f t="shared" si="40"/>
        <v>9800000</v>
      </c>
      <c r="I285">
        <f t="shared" si="41"/>
        <v>877300</v>
      </c>
      <c r="J285">
        <f t="shared" si="42"/>
        <v>1100000</v>
      </c>
      <c r="K285" s="2">
        <f t="shared" si="43"/>
        <v>8.95204081632653E-2</v>
      </c>
      <c r="L285" t="str">
        <f t="shared" si="44"/>
        <v>Tier 1</v>
      </c>
    </row>
    <row r="286" spans="1:12" x14ac:dyDescent="0.35">
      <c r="A286" s="1" t="s">
        <v>968</v>
      </c>
      <c r="B286">
        <v>291</v>
      </c>
      <c r="C286" t="s">
        <v>26</v>
      </c>
      <c r="D286" t="s">
        <v>115</v>
      </c>
      <c r="E286" t="s">
        <v>58</v>
      </c>
      <c r="F286" t="s">
        <v>86</v>
      </c>
      <c r="G286" t="s">
        <v>155</v>
      </c>
      <c r="H286">
        <f t="shared" si="40"/>
        <v>6900000</v>
      </c>
      <c r="I286">
        <f t="shared" si="41"/>
        <v>1300000</v>
      </c>
      <c r="J286">
        <f t="shared" si="42"/>
        <v>1600000</v>
      </c>
      <c r="K286" s="2">
        <f t="shared" si="43"/>
        <v>0.18840579710144928</v>
      </c>
      <c r="L286" t="str">
        <f t="shared" si="44"/>
        <v>Tier 1</v>
      </c>
    </row>
    <row r="287" spans="1:12" x14ac:dyDescent="0.35">
      <c r="A287" s="1" t="s">
        <v>969</v>
      </c>
      <c r="B287">
        <v>292</v>
      </c>
      <c r="C287" t="s">
        <v>69</v>
      </c>
      <c r="D287" t="s">
        <v>970</v>
      </c>
      <c r="E287" t="s">
        <v>10</v>
      </c>
      <c r="F287" t="s">
        <v>971</v>
      </c>
      <c r="G287" t="s">
        <v>972</v>
      </c>
      <c r="H287">
        <f t="shared" si="40"/>
        <v>22600000</v>
      </c>
      <c r="I287">
        <f t="shared" si="41"/>
        <v>388300</v>
      </c>
      <c r="J287">
        <f t="shared" si="42"/>
        <v>475100</v>
      </c>
      <c r="K287" s="2">
        <f t="shared" si="43"/>
        <v>1.7181415929203539E-2</v>
      </c>
      <c r="L287" t="str">
        <f t="shared" si="44"/>
        <v>Tier 2</v>
      </c>
    </row>
    <row r="288" spans="1:12" x14ac:dyDescent="0.35">
      <c r="A288" s="1" t="s">
        <v>973</v>
      </c>
      <c r="B288">
        <v>293</v>
      </c>
      <c r="C288" t="s">
        <v>8</v>
      </c>
      <c r="D288" t="s">
        <v>742</v>
      </c>
      <c r="E288" t="s">
        <v>519</v>
      </c>
      <c r="F288" t="s">
        <v>974</v>
      </c>
      <c r="G288" t="s">
        <v>47</v>
      </c>
      <c r="H288">
        <f t="shared" si="40"/>
        <v>9000000</v>
      </c>
      <c r="I288">
        <f t="shared" si="41"/>
        <v>739500</v>
      </c>
      <c r="J288">
        <f t="shared" si="42"/>
        <v>1200000</v>
      </c>
      <c r="K288" s="2">
        <f t="shared" si="43"/>
        <v>8.2166666666666666E-2</v>
      </c>
      <c r="L288" t="str">
        <f t="shared" si="44"/>
        <v>Tier 1</v>
      </c>
    </row>
    <row r="289" spans="1:12" x14ac:dyDescent="0.35">
      <c r="A289" s="1" t="s">
        <v>975</v>
      </c>
      <c r="B289">
        <v>294</v>
      </c>
      <c r="C289" t="s">
        <v>976</v>
      </c>
      <c r="D289" t="s">
        <v>355</v>
      </c>
      <c r="E289" t="s">
        <v>42</v>
      </c>
      <c r="F289" t="s">
        <v>977</v>
      </c>
      <c r="G289" t="s">
        <v>978</v>
      </c>
      <c r="H289">
        <f t="shared" si="40"/>
        <v>17000000</v>
      </c>
      <c r="I289">
        <f t="shared" si="41"/>
        <v>474800</v>
      </c>
      <c r="J289">
        <f t="shared" si="42"/>
        <v>626700</v>
      </c>
      <c r="K289" s="2">
        <f t="shared" si="43"/>
        <v>2.7929411764705883E-2</v>
      </c>
      <c r="L289" t="str">
        <f t="shared" si="44"/>
        <v>Tier 2</v>
      </c>
    </row>
    <row r="290" spans="1:12" x14ac:dyDescent="0.35">
      <c r="A290" s="1" t="s">
        <v>980</v>
      </c>
      <c r="B290">
        <v>296</v>
      </c>
      <c r="C290" t="s">
        <v>8</v>
      </c>
      <c r="D290" t="s">
        <v>981</v>
      </c>
      <c r="E290" t="s">
        <v>982</v>
      </c>
      <c r="F290" t="s">
        <v>983</v>
      </c>
      <c r="G290" t="s">
        <v>984</v>
      </c>
      <c r="H290">
        <f t="shared" si="40"/>
        <v>26800000</v>
      </c>
      <c r="I290">
        <f t="shared" si="41"/>
        <v>312500</v>
      </c>
      <c r="J290">
        <f t="shared" si="42"/>
        <v>397100</v>
      </c>
      <c r="K290" s="2">
        <f t="shared" si="43"/>
        <v>1.1660447761194031E-2</v>
      </c>
      <c r="L290" t="str">
        <f t="shared" si="44"/>
        <v>Tier 2</v>
      </c>
    </row>
    <row r="291" spans="1:12" x14ac:dyDescent="0.35">
      <c r="A291" s="1" t="s">
        <v>985</v>
      </c>
      <c r="B291">
        <v>297</v>
      </c>
      <c r="C291" t="s">
        <v>26</v>
      </c>
      <c r="D291" t="s">
        <v>639</v>
      </c>
      <c r="E291" t="s">
        <v>58</v>
      </c>
      <c r="F291" t="s">
        <v>986</v>
      </c>
      <c r="G291" t="s">
        <v>987</v>
      </c>
      <c r="H291">
        <f t="shared" si="40"/>
        <v>13000000</v>
      </c>
      <c r="I291">
        <f t="shared" si="41"/>
        <v>660300</v>
      </c>
      <c r="J291">
        <f t="shared" si="42"/>
        <v>813900</v>
      </c>
      <c r="K291" s="2">
        <f t="shared" si="43"/>
        <v>5.0792307692307692E-2</v>
      </c>
      <c r="L291" t="str">
        <f t="shared" si="44"/>
        <v>Tier 2</v>
      </c>
    </row>
    <row r="292" spans="1:12" x14ac:dyDescent="0.35">
      <c r="A292" s="1" t="s">
        <v>988</v>
      </c>
      <c r="B292">
        <v>298</v>
      </c>
      <c r="C292" t="s">
        <v>76</v>
      </c>
      <c r="D292" t="s">
        <v>651</v>
      </c>
      <c r="E292" t="s">
        <v>58</v>
      </c>
      <c r="F292" t="s">
        <v>989</v>
      </c>
      <c r="G292" t="s">
        <v>434</v>
      </c>
      <c r="H292">
        <f t="shared" si="40"/>
        <v>10300000</v>
      </c>
      <c r="I292">
        <f t="shared" si="41"/>
        <v>859100</v>
      </c>
      <c r="J292">
        <f t="shared" si="42"/>
        <v>1000000</v>
      </c>
      <c r="K292" s="2">
        <f t="shared" si="43"/>
        <v>8.340776699029126E-2</v>
      </c>
      <c r="L292" t="str">
        <f t="shared" si="44"/>
        <v>Tier 2</v>
      </c>
    </row>
    <row r="293" spans="1:12" x14ac:dyDescent="0.35">
      <c r="A293" s="1" t="s">
        <v>990</v>
      </c>
      <c r="B293">
        <v>299</v>
      </c>
      <c r="C293" t="s">
        <v>920</v>
      </c>
      <c r="D293" t="s">
        <v>991</v>
      </c>
      <c r="E293" t="s">
        <v>42</v>
      </c>
      <c r="F293" t="s">
        <v>992</v>
      </c>
      <c r="G293" t="s">
        <v>993</v>
      </c>
      <c r="H293">
        <f t="shared" si="40"/>
        <v>58600000</v>
      </c>
      <c r="I293">
        <f t="shared" si="41"/>
        <v>114500</v>
      </c>
      <c r="J293">
        <f t="shared" si="42"/>
        <v>179400</v>
      </c>
      <c r="K293" s="2">
        <f t="shared" si="43"/>
        <v>1.953924914675768E-3</v>
      </c>
      <c r="L293" t="str">
        <f t="shared" si="44"/>
        <v>Tier 3</v>
      </c>
    </row>
    <row r="294" spans="1:12" hidden="1" x14ac:dyDescent="0.35">
      <c r="A294" s="1" t="s">
        <v>994</v>
      </c>
      <c r="B294">
        <v>300</v>
      </c>
      <c r="D294" t="s">
        <v>18</v>
      </c>
      <c r="E294" t="s">
        <v>22</v>
      </c>
      <c r="F294">
        <v>0</v>
      </c>
      <c r="G294" t="s">
        <v>171</v>
      </c>
      <c r="K294"/>
    </row>
    <row r="295" spans="1:12" x14ac:dyDescent="0.35">
      <c r="A295" s="1" t="s">
        <v>995</v>
      </c>
      <c r="B295">
        <v>301</v>
      </c>
      <c r="C295" t="s">
        <v>590</v>
      </c>
      <c r="D295" t="s">
        <v>802</v>
      </c>
      <c r="E295" t="s">
        <v>22</v>
      </c>
      <c r="F295" t="s">
        <v>996</v>
      </c>
      <c r="G295" t="s">
        <v>90</v>
      </c>
      <c r="H295">
        <f t="shared" ref="H295:H316" si="45">IF(RIGHT(D295,1)="M", VALUE(SUBSTITUTE(D295,"M",""))*1000000, VALUE(SUBSTITUTE(D295,"K",""))*1000)</f>
        <v>9400000</v>
      </c>
      <c r="I295">
        <f t="shared" ref="I295:I316" si="46">IF(RIGHT(F295,1)="M", VALUE(SUBSTITUTE(F295,"M",""))*1000000, VALUE(SUBSTITUTE(F295,"K",""))*1000)</f>
        <v>933100</v>
      </c>
      <c r="J295">
        <f t="shared" ref="J295:J316" si="47">IF(RIGHT(G295,1)="M", VALUE(SUBSTITUTE(G295,"M",""))*1000000, VALUE(SUBSTITUTE(G295,"K",""))*1000)</f>
        <v>1100000</v>
      </c>
      <c r="K295" s="2">
        <f t="shared" ref="K295:K316" si="48">I295/H295</f>
        <v>9.9265957446808509E-2</v>
      </c>
      <c r="L295" t="str">
        <f t="shared" ref="L295:L316" si="49">IF(H295&lt;10000000,"Tier 1",
 IF(H295&lt;50000000,"Tier 2",
 IF(H295&lt;100000000,"Tier 3",
 "Tier 4")))</f>
        <v>Tier 1</v>
      </c>
    </row>
    <row r="296" spans="1:12" x14ac:dyDescent="0.35">
      <c r="A296" s="1" t="s">
        <v>997</v>
      </c>
      <c r="B296">
        <v>302</v>
      </c>
      <c r="C296" t="s">
        <v>305</v>
      </c>
      <c r="D296" t="s">
        <v>905</v>
      </c>
      <c r="E296" t="s">
        <v>22</v>
      </c>
      <c r="F296" t="s">
        <v>998</v>
      </c>
      <c r="G296" t="s">
        <v>999</v>
      </c>
      <c r="H296">
        <f t="shared" si="45"/>
        <v>14200000</v>
      </c>
      <c r="I296">
        <f t="shared" si="46"/>
        <v>493300</v>
      </c>
      <c r="J296">
        <f t="shared" si="47"/>
        <v>724200</v>
      </c>
      <c r="K296" s="2">
        <f t="shared" si="48"/>
        <v>3.473943661971831E-2</v>
      </c>
      <c r="L296" t="str">
        <f t="shared" si="49"/>
        <v>Tier 2</v>
      </c>
    </row>
    <row r="297" spans="1:12" x14ac:dyDescent="0.35">
      <c r="A297" s="1" t="s">
        <v>1000</v>
      </c>
      <c r="B297">
        <v>303</v>
      </c>
      <c r="C297" t="s">
        <v>26</v>
      </c>
      <c r="D297" t="s">
        <v>311</v>
      </c>
      <c r="E297" t="s">
        <v>58</v>
      </c>
      <c r="F297" t="s">
        <v>1001</v>
      </c>
      <c r="G297" t="s">
        <v>1002</v>
      </c>
      <c r="H297">
        <f t="shared" si="45"/>
        <v>14400000</v>
      </c>
      <c r="I297">
        <f t="shared" si="46"/>
        <v>541400</v>
      </c>
      <c r="J297">
        <f t="shared" si="47"/>
        <v>709200</v>
      </c>
      <c r="K297" s="2">
        <f t="shared" si="48"/>
        <v>3.7597222222222219E-2</v>
      </c>
      <c r="L297" t="str">
        <f t="shared" si="49"/>
        <v>Tier 2</v>
      </c>
    </row>
    <row r="298" spans="1:12" x14ac:dyDescent="0.35">
      <c r="A298" s="1" t="s">
        <v>1003</v>
      </c>
      <c r="B298">
        <v>304</v>
      </c>
      <c r="C298" t="s">
        <v>26</v>
      </c>
      <c r="D298" t="s">
        <v>1004</v>
      </c>
      <c r="E298" t="s">
        <v>58</v>
      </c>
      <c r="F298" t="s">
        <v>1005</v>
      </c>
      <c r="G298" t="s">
        <v>47</v>
      </c>
      <c r="H298">
        <f t="shared" si="45"/>
        <v>8400000</v>
      </c>
      <c r="I298">
        <f t="shared" si="46"/>
        <v>950400</v>
      </c>
      <c r="J298">
        <f t="shared" si="47"/>
        <v>1200000</v>
      </c>
      <c r="K298" s="2">
        <f t="shared" si="48"/>
        <v>0.11314285714285714</v>
      </c>
      <c r="L298" t="str">
        <f t="shared" si="49"/>
        <v>Tier 1</v>
      </c>
    </row>
    <row r="299" spans="1:12" x14ac:dyDescent="0.35">
      <c r="A299" s="1" t="s">
        <v>1006</v>
      </c>
      <c r="B299">
        <v>305</v>
      </c>
      <c r="C299" t="s">
        <v>69</v>
      </c>
      <c r="D299" t="s">
        <v>64</v>
      </c>
      <c r="E299" t="s">
        <v>58</v>
      </c>
      <c r="F299" t="s">
        <v>1007</v>
      </c>
      <c r="G299" t="s">
        <v>47</v>
      </c>
      <c r="H299">
        <f t="shared" si="45"/>
        <v>8300000.0000000009</v>
      </c>
      <c r="I299">
        <f t="shared" si="46"/>
        <v>930300</v>
      </c>
      <c r="J299">
        <f t="shared" si="47"/>
        <v>1200000</v>
      </c>
      <c r="K299" s="2">
        <f t="shared" si="48"/>
        <v>0.11208433734939757</v>
      </c>
      <c r="L299" t="str">
        <f t="shared" si="49"/>
        <v>Tier 1</v>
      </c>
    </row>
    <row r="300" spans="1:12" x14ac:dyDescent="0.35">
      <c r="A300" s="1" t="s">
        <v>1008</v>
      </c>
      <c r="B300">
        <v>306</v>
      </c>
      <c r="C300" t="s">
        <v>310</v>
      </c>
      <c r="D300" t="s">
        <v>1009</v>
      </c>
      <c r="E300" t="s">
        <v>58</v>
      </c>
      <c r="F300" t="s">
        <v>52</v>
      </c>
      <c r="G300" t="s">
        <v>38</v>
      </c>
      <c r="H300">
        <f t="shared" si="45"/>
        <v>5900000</v>
      </c>
      <c r="I300">
        <f t="shared" si="46"/>
        <v>1400000</v>
      </c>
      <c r="J300">
        <f t="shared" si="47"/>
        <v>1700000</v>
      </c>
      <c r="K300" s="2">
        <f t="shared" si="48"/>
        <v>0.23728813559322035</v>
      </c>
      <c r="L300" t="str">
        <f t="shared" si="49"/>
        <v>Tier 1</v>
      </c>
    </row>
    <row r="301" spans="1:12" x14ac:dyDescent="0.35">
      <c r="A301" s="1" t="s">
        <v>1010</v>
      </c>
      <c r="B301">
        <v>307</v>
      </c>
      <c r="D301" t="s">
        <v>945</v>
      </c>
      <c r="E301" t="s">
        <v>42</v>
      </c>
      <c r="F301" t="s">
        <v>1011</v>
      </c>
      <c r="G301" t="s">
        <v>86</v>
      </c>
      <c r="H301">
        <f t="shared" si="45"/>
        <v>8199999.9999999991</v>
      </c>
      <c r="I301">
        <f t="shared" si="46"/>
        <v>973800</v>
      </c>
      <c r="J301">
        <f t="shared" si="47"/>
        <v>1300000</v>
      </c>
      <c r="K301" s="2">
        <f t="shared" si="48"/>
        <v>0.11875609756097562</v>
      </c>
      <c r="L301" t="str">
        <f t="shared" si="49"/>
        <v>Tier 1</v>
      </c>
    </row>
    <row r="302" spans="1:12" x14ac:dyDescent="0.35">
      <c r="A302" s="1" t="s">
        <v>1012</v>
      </c>
      <c r="B302">
        <v>308</v>
      </c>
      <c r="C302" t="s">
        <v>920</v>
      </c>
      <c r="D302" t="s">
        <v>1013</v>
      </c>
      <c r="E302" t="s">
        <v>22</v>
      </c>
      <c r="F302" t="s">
        <v>434</v>
      </c>
      <c r="G302" t="s">
        <v>155</v>
      </c>
      <c r="H302">
        <f t="shared" si="45"/>
        <v>6500000</v>
      </c>
      <c r="I302">
        <f t="shared" si="46"/>
        <v>1000000</v>
      </c>
      <c r="J302">
        <f t="shared" si="47"/>
        <v>1600000</v>
      </c>
      <c r="K302" s="2">
        <f t="shared" si="48"/>
        <v>0.15384615384615385</v>
      </c>
      <c r="L302" t="str">
        <f t="shared" si="49"/>
        <v>Tier 1</v>
      </c>
    </row>
    <row r="303" spans="1:12" x14ac:dyDescent="0.35">
      <c r="A303" s="1" t="s">
        <v>1014</v>
      </c>
      <c r="B303">
        <v>309</v>
      </c>
      <c r="D303" t="s">
        <v>1015</v>
      </c>
      <c r="E303" t="s">
        <v>141</v>
      </c>
      <c r="F303" t="s">
        <v>1016</v>
      </c>
      <c r="G303" t="s">
        <v>1017</v>
      </c>
      <c r="H303">
        <f t="shared" si="45"/>
        <v>12000000</v>
      </c>
      <c r="I303">
        <f t="shared" si="46"/>
        <v>699700</v>
      </c>
      <c r="J303">
        <f t="shared" si="47"/>
        <v>832700</v>
      </c>
      <c r="K303" s="2">
        <f t="shared" si="48"/>
        <v>5.830833333333333E-2</v>
      </c>
      <c r="L303" t="str">
        <f t="shared" si="49"/>
        <v>Tier 2</v>
      </c>
    </row>
    <row r="304" spans="1:12" x14ac:dyDescent="0.35">
      <c r="A304" s="1" t="s">
        <v>1018</v>
      </c>
      <c r="B304">
        <v>310</v>
      </c>
      <c r="D304" t="s">
        <v>60</v>
      </c>
      <c r="E304" t="s">
        <v>42</v>
      </c>
      <c r="F304" t="s">
        <v>1019</v>
      </c>
      <c r="G304" t="s">
        <v>52</v>
      </c>
      <c r="H304">
        <f t="shared" si="45"/>
        <v>7300000</v>
      </c>
      <c r="I304">
        <f t="shared" si="46"/>
        <v>667500</v>
      </c>
      <c r="J304">
        <f t="shared" si="47"/>
        <v>1400000</v>
      </c>
      <c r="K304" s="2">
        <f t="shared" si="48"/>
        <v>9.1438356164383561E-2</v>
      </c>
      <c r="L304" t="str">
        <f t="shared" si="49"/>
        <v>Tier 1</v>
      </c>
    </row>
    <row r="305" spans="1:12" x14ac:dyDescent="0.35">
      <c r="A305" s="1" t="s">
        <v>1020</v>
      </c>
      <c r="B305">
        <v>311</v>
      </c>
      <c r="C305" t="s">
        <v>26</v>
      </c>
      <c r="D305" t="s">
        <v>1021</v>
      </c>
      <c r="E305" t="s">
        <v>58</v>
      </c>
      <c r="F305" t="s">
        <v>1022</v>
      </c>
      <c r="G305" t="s">
        <v>1023</v>
      </c>
      <c r="H305">
        <f t="shared" si="45"/>
        <v>10500000</v>
      </c>
      <c r="I305">
        <f t="shared" si="46"/>
        <v>678900</v>
      </c>
      <c r="J305">
        <f t="shared" si="47"/>
        <v>952400</v>
      </c>
      <c r="K305" s="2">
        <f t="shared" si="48"/>
        <v>6.4657142857142857E-2</v>
      </c>
      <c r="L305" t="str">
        <f t="shared" si="49"/>
        <v>Tier 2</v>
      </c>
    </row>
    <row r="306" spans="1:12" x14ac:dyDescent="0.35">
      <c r="A306" s="1" t="s">
        <v>1024</v>
      </c>
      <c r="B306">
        <v>312</v>
      </c>
      <c r="C306" t="s">
        <v>20</v>
      </c>
      <c r="D306" t="s">
        <v>770</v>
      </c>
      <c r="E306" t="s">
        <v>195</v>
      </c>
      <c r="F306" t="s">
        <v>1025</v>
      </c>
      <c r="G306" t="s">
        <v>1026</v>
      </c>
      <c r="H306">
        <f t="shared" si="45"/>
        <v>17900000</v>
      </c>
      <c r="I306">
        <f t="shared" si="46"/>
        <v>412100</v>
      </c>
      <c r="J306">
        <f t="shared" si="47"/>
        <v>556000</v>
      </c>
      <c r="K306" s="2">
        <f t="shared" si="48"/>
        <v>2.3022346368715085E-2</v>
      </c>
      <c r="L306" t="str">
        <f t="shared" si="49"/>
        <v>Tier 2</v>
      </c>
    </row>
    <row r="307" spans="1:12" x14ac:dyDescent="0.35">
      <c r="A307" s="1" t="s">
        <v>1027</v>
      </c>
      <c r="B307">
        <v>313</v>
      </c>
      <c r="C307" t="s">
        <v>1028</v>
      </c>
      <c r="D307" t="s">
        <v>1029</v>
      </c>
      <c r="E307" t="s">
        <v>1030</v>
      </c>
      <c r="F307" t="s">
        <v>1031</v>
      </c>
      <c r="G307" t="s">
        <v>1032</v>
      </c>
      <c r="H307">
        <f t="shared" si="45"/>
        <v>12800000</v>
      </c>
      <c r="I307">
        <f t="shared" si="46"/>
        <v>590800</v>
      </c>
      <c r="J307">
        <f t="shared" si="47"/>
        <v>776300</v>
      </c>
      <c r="K307" s="2">
        <f t="shared" si="48"/>
        <v>4.6156250000000003E-2</v>
      </c>
      <c r="L307" t="str">
        <f t="shared" si="49"/>
        <v>Tier 2</v>
      </c>
    </row>
    <row r="308" spans="1:12" x14ac:dyDescent="0.35">
      <c r="A308" s="1" t="s">
        <v>1033</v>
      </c>
      <c r="B308">
        <v>314</v>
      </c>
      <c r="C308" t="s">
        <v>26</v>
      </c>
      <c r="D308" t="s">
        <v>1034</v>
      </c>
      <c r="E308" t="s">
        <v>58</v>
      </c>
      <c r="F308" t="s">
        <v>1035</v>
      </c>
      <c r="G308" t="s">
        <v>1036</v>
      </c>
      <c r="H308">
        <f t="shared" si="45"/>
        <v>16900000</v>
      </c>
      <c r="I308">
        <f t="shared" si="46"/>
        <v>394800</v>
      </c>
      <c r="J308">
        <f t="shared" si="47"/>
        <v>581300</v>
      </c>
      <c r="K308" s="2">
        <f t="shared" si="48"/>
        <v>2.336094674556213E-2</v>
      </c>
      <c r="L308" t="str">
        <f t="shared" si="49"/>
        <v>Tier 2</v>
      </c>
    </row>
    <row r="309" spans="1:12" x14ac:dyDescent="0.35">
      <c r="A309" s="1" t="s">
        <v>1037</v>
      </c>
      <c r="B309">
        <v>315</v>
      </c>
      <c r="C309" t="s">
        <v>1038</v>
      </c>
      <c r="D309" t="s">
        <v>1039</v>
      </c>
      <c r="E309" t="s">
        <v>22</v>
      </c>
      <c r="F309" t="s">
        <v>1040</v>
      </c>
      <c r="G309" t="s">
        <v>1041</v>
      </c>
      <c r="H309">
        <f t="shared" si="45"/>
        <v>18400000</v>
      </c>
      <c r="I309">
        <f t="shared" si="46"/>
        <v>315500</v>
      </c>
      <c r="J309">
        <f t="shared" si="47"/>
        <v>531000</v>
      </c>
      <c r="K309" s="2">
        <f t="shared" si="48"/>
        <v>1.7146739130434782E-2</v>
      </c>
      <c r="L309" t="str">
        <f t="shared" si="49"/>
        <v>Tier 2</v>
      </c>
    </row>
    <row r="310" spans="1:12" x14ac:dyDescent="0.35">
      <c r="A310" s="1" t="s">
        <v>1042</v>
      </c>
      <c r="B310">
        <v>316</v>
      </c>
      <c r="C310" t="s">
        <v>76</v>
      </c>
      <c r="D310" t="s">
        <v>807</v>
      </c>
      <c r="E310" t="s">
        <v>141</v>
      </c>
      <c r="F310" t="s">
        <v>1043</v>
      </c>
      <c r="G310" t="s">
        <v>1044</v>
      </c>
      <c r="H310">
        <f t="shared" si="45"/>
        <v>12900000</v>
      </c>
      <c r="I310">
        <f t="shared" si="46"/>
        <v>684500</v>
      </c>
      <c r="J310">
        <f t="shared" si="47"/>
        <v>754700</v>
      </c>
      <c r="K310" s="2">
        <f t="shared" si="48"/>
        <v>5.3062015503875966E-2</v>
      </c>
      <c r="L310" t="str">
        <f t="shared" si="49"/>
        <v>Tier 2</v>
      </c>
    </row>
    <row r="311" spans="1:12" x14ac:dyDescent="0.35">
      <c r="A311" s="1" t="s">
        <v>1045</v>
      </c>
      <c r="B311">
        <v>317</v>
      </c>
      <c r="C311" t="s">
        <v>26</v>
      </c>
      <c r="D311" t="s">
        <v>576</v>
      </c>
      <c r="E311" t="s">
        <v>58</v>
      </c>
      <c r="F311" t="s">
        <v>1046</v>
      </c>
      <c r="G311" t="s">
        <v>1047</v>
      </c>
      <c r="H311">
        <f t="shared" si="45"/>
        <v>14100000</v>
      </c>
      <c r="I311">
        <f t="shared" si="46"/>
        <v>555100</v>
      </c>
      <c r="J311">
        <f t="shared" si="47"/>
        <v>685800</v>
      </c>
      <c r="K311" s="2">
        <f t="shared" si="48"/>
        <v>3.9368794326241137E-2</v>
      </c>
      <c r="L311" t="str">
        <f t="shared" si="49"/>
        <v>Tier 2</v>
      </c>
    </row>
    <row r="312" spans="1:12" x14ac:dyDescent="0.35">
      <c r="A312" s="1" t="s">
        <v>1048</v>
      </c>
      <c r="B312">
        <v>318</v>
      </c>
      <c r="C312" t="s">
        <v>26</v>
      </c>
      <c r="D312" t="s">
        <v>60</v>
      </c>
      <c r="E312" t="s">
        <v>58</v>
      </c>
      <c r="F312" t="s">
        <v>47</v>
      </c>
      <c r="G312" t="s">
        <v>86</v>
      </c>
      <c r="H312">
        <f t="shared" si="45"/>
        <v>7300000</v>
      </c>
      <c r="I312">
        <f t="shared" si="46"/>
        <v>1200000</v>
      </c>
      <c r="J312">
        <f t="shared" si="47"/>
        <v>1300000</v>
      </c>
      <c r="K312" s="2">
        <f t="shared" si="48"/>
        <v>0.16438356164383561</v>
      </c>
      <c r="L312" t="str">
        <f t="shared" si="49"/>
        <v>Tier 1</v>
      </c>
    </row>
    <row r="313" spans="1:12" x14ac:dyDescent="0.35">
      <c r="A313" s="1" t="s">
        <v>1049</v>
      </c>
      <c r="B313">
        <v>319</v>
      </c>
      <c r="C313" t="s">
        <v>1050</v>
      </c>
      <c r="D313" t="s">
        <v>1051</v>
      </c>
      <c r="E313" t="s">
        <v>799</v>
      </c>
      <c r="F313" t="s">
        <v>1052</v>
      </c>
      <c r="G313" t="s">
        <v>1053</v>
      </c>
      <c r="H313">
        <f t="shared" si="45"/>
        <v>17300000</v>
      </c>
      <c r="I313">
        <f t="shared" si="46"/>
        <v>467400</v>
      </c>
      <c r="J313">
        <f t="shared" si="47"/>
        <v>557700</v>
      </c>
      <c r="K313" s="2">
        <f t="shared" si="48"/>
        <v>2.7017341040462429E-2</v>
      </c>
      <c r="L313" t="str">
        <f t="shared" si="49"/>
        <v>Tier 2</v>
      </c>
    </row>
    <row r="314" spans="1:12" x14ac:dyDescent="0.35">
      <c r="A314" s="1" t="s">
        <v>1054</v>
      </c>
      <c r="B314">
        <v>320</v>
      </c>
      <c r="C314" t="s">
        <v>310</v>
      </c>
      <c r="D314" t="s">
        <v>576</v>
      </c>
      <c r="E314" t="s">
        <v>22</v>
      </c>
      <c r="F314" t="s">
        <v>1055</v>
      </c>
      <c r="G314" t="s">
        <v>1056</v>
      </c>
      <c r="H314">
        <f t="shared" si="45"/>
        <v>14100000</v>
      </c>
      <c r="I314">
        <f t="shared" si="46"/>
        <v>502100</v>
      </c>
      <c r="J314">
        <f t="shared" si="47"/>
        <v>677800</v>
      </c>
      <c r="K314" s="2">
        <f t="shared" si="48"/>
        <v>3.5609929078014184E-2</v>
      </c>
      <c r="L314" t="str">
        <f t="shared" si="49"/>
        <v>Tier 2</v>
      </c>
    </row>
    <row r="315" spans="1:12" x14ac:dyDescent="0.35">
      <c r="A315" s="1" t="s">
        <v>1057</v>
      </c>
      <c r="B315">
        <v>321</v>
      </c>
      <c r="C315" t="s">
        <v>69</v>
      </c>
      <c r="D315" t="s">
        <v>1058</v>
      </c>
      <c r="E315" t="s">
        <v>10</v>
      </c>
      <c r="F315" t="s">
        <v>1059</v>
      </c>
      <c r="G315" t="s">
        <v>1060</v>
      </c>
      <c r="H315">
        <f t="shared" si="45"/>
        <v>14800000</v>
      </c>
      <c r="I315">
        <f t="shared" si="46"/>
        <v>525400</v>
      </c>
      <c r="J315">
        <f t="shared" si="47"/>
        <v>650000</v>
      </c>
      <c r="K315" s="2">
        <f t="shared" si="48"/>
        <v>3.5499999999999997E-2</v>
      </c>
      <c r="L315" t="str">
        <f t="shared" si="49"/>
        <v>Tier 2</v>
      </c>
    </row>
    <row r="316" spans="1:12" x14ac:dyDescent="0.35">
      <c r="A316" s="1" t="s">
        <v>1061</v>
      </c>
      <c r="B316">
        <v>322</v>
      </c>
      <c r="C316" t="s">
        <v>1062</v>
      </c>
      <c r="D316" t="s">
        <v>929</v>
      </c>
      <c r="E316" t="s">
        <v>58</v>
      </c>
      <c r="F316" t="s">
        <v>1063</v>
      </c>
      <c r="G316" t="s">
        <v>1064</v>
      </c>
      <c r="H316">
        <f t="shared" si="45"/>
        <v>12500000</v>
      </c>
      <c r="I316">
        <f t="shared" si="46"/>
        <v>604800</v>
      </c>
      <c r="J316">
        <f t="shared" si="47"/>
        <v>763000</v>
      </c>
      <c r="K316" s="2">
        <f t="shared" si="48"/>
        <v>4.8384000000000003E-2</v>
      </c>
      <c r="L316" t="str">
        <f t="shared" si="49"/>
        <v>Tier 2</v>
      </c>
    </row>
    <row r="317" spans="1:12" hidden="1" x14ac:dyDescent="0.35">
      <c r="A317" s="1" t="s">
        <v>1065</v>
      </c>
      <c r="B317">
        <v>323</v>
      </c>
      <c r="D317" t="s">
        <v>1066</v>
      </c>
      <c r="E317" t="s">
        <v>22</v>
      </c>
      <c r="F317">
        <v>0</v>
      </c>
      <c r="G317" t="s">
        <v>100</v>
      </c>
      <c r="K317"/>
    </row>
    <row r="318" spans="1:12" x14ac:dyDescent="0.35">
      <c r="A318" s="1" t="s">
        <v>1067</v>
      </c>
      <c r="B318">
        <v>324</v>
      </c>
      <c r="C318" t="s">
        <v>180</v>
      </c>
      <c r="D318" t="s">
        <v>1068</v>
      </c>
      <c r="E318" t="s">
        <v>22</v>
      </c>
      <c r="F318" t="s">
        <v>1069</v>
      </c>
      <c r="G318" t="s">
        <v>1070</v>
      </c>
      <c r="H318">
        <f t="shared" ref="H318:H381" si="50">IF(RIGHT(D318,1)="M", VALUE(SUBSTITUTE(D318,"M",""))*1000000, VALUE(SUBSTITUTE(D318,"K",""))*1000)</f>
        <v>22900000</v>
      </c>
      <c r="I318">
        <f t="shared" ref="I318:I381" si="51">IF(RIGHT(F318,1)="M", VALUE(SUBSTITUTE(F318,"M",""))*1000000, VALUE(SUBSTITUTE(F318,"K",""))*1000)</f>
        <v>282800</v>
      </c>
      <c r="J318">
        <f t="shared" ref="J318:J381" si="52">IF(RIGHT(G318,1)="M", VALUE(SUBSTITUTE(G318,"M",""))*1000000, VALUE(SUBSTITUTE(G318,"K",""))*1000)</f>
        <v>414000</v>
      </c>
      <c r="K318" s="2">
        <f t="shared" ref="K318:K381" si="53">I318/H318</f>
        <v>1.2349344978165939E-2</v>
      </c>
      <c r="L318" t="str">
        <f t="shared" ref="L318:L381" si="54">IF(H318&lt;10000000,"Tier 1",
 IF(H318&lt;50000000,"Tier 2",
 IF(H318&lt;100000000,"Tier 3",
 "Tier 4")))</f>
        <v>Tier 2</v>
      </c>
    </row>
    <row r="319" spans="1:12" x14ac:dyDescent="0.35">
      <c r="A319" s="1" t="s">
        <v>1071</v>
      </c>
      <c r="B319">
        <v>325</v>
      </c>
      <c r="C319" t="s">
        <v>1072</v>
      </c>
      <c r="D319" t="s">
        <v>767</v>
      </c>
      <c r="E319" t="s">
        <v>58</v>
      </c>
      <c r="F319" t="s">
        <v>1073</v>
      </c>
      <c r="G319" t="s">
        <v>1074</v>
      </c>
      <c r="H319">
        <f t="shared" si="50"/>
        <v>10000000</v>
      </c>
      <c r="I319">
        <f t="shared" si="51"/>
        <v>909700</v>
      </c>
      <c r="J319">
        <f t="shared" si="52"/>
        <v>960700</v>
      </c>
      <c r="K319" s="2">
        <f t="shared" si="53"/>
        <v>9.0969999999999995E-2</v>
      </c>
      <c r="L319" t="str">
        <f t="shared" si="54"/>
        <v>Tier 2</v>
      </c>
    </row>
    <row r="320" spans="1:12" x14ac:dyDescent="0.35">
      <c r="A320" s="1" t="s">
        <v>1075</v>
      </c>
      <c r="B320">
        <v>326</v>
      </c>
      <c r="C320" t="s">
        <v>26</v>
      </c>
      <c r="D320" t="s">
        <v>1076</v>
      </c>
      <c r="E320" t="s">
        <v>22</v>
      </c>
      <c r="F320" t="s">
        <v>1077</v>
      </c>
      <c r="G320" t="s">
        <v>1078</v>
      </c>
      <c r="H320">
        <f t="shared" si="50"/>
        <v>22400000</v>
      </c>
      <c r="I320">
        <f t="shared" si="51"/>
        <v>274800</v>
      </c>
      <c r="J320">
        <f t="shared" si="52"/>
        <v>420200</v>
      </c>
      <c r="K320" s="2">
        <f t="shared" si="53"/>
        <v>1.2267857142857143E-2</v>
      </c>
      <c r="L320" t="str">
        <f t="shared" si="54"/>
        <v>Tier 2</v>
      </c>
    </row>
    <row r="321" spans="1:12" x14ac:dyDescent="0.35">
      <c r="A321" s="1" t="s">
        <v>1079</v>
      </c>
      <c r="B321">
        <v>327</v>
      </c>
      <c r="C321" t="s">
        <v>157</v>
      </c>
      <c r="D321" t="s">
        <v>883</v>
      </c>
      <c r="E321" t="s">
        <v>58</v>
      </c>
      <c r="F321" t="s">
        <v>1080</v>
      </c>
      <c r="G321" t="s">
        <v>1081</v>
      </c>
      <c r="H321">
        <f t="shared" si="50"/>
        <v>13700000</v>
      </c>
      <c r="I321">
        <f t="shared" si="51"/>
        <v>555700</v>
      </c>
      <c r="J321">
        <f t="shared" si="52"/>
        <v>683100</v>
      </c>
      <c r="K321" s="2">
        <f t="shared" si="53"/>
        <v>4.0562043795620437E-2</v>
      </c>
      <c r="L321" t="str">
        <f t="shared" si="54"/>
        <v>Tier 2</v>
      </c>
    </row>
    <row r="322" spans="1:12" x14ac:dyDescent="0.35">
      <c r="A322" s="1" t="s">
        <v>1082</v>
      </c>
      <c r="B322">
        <v>328</v>
      </c>
      <c r="C322" t="s">
        <v>8</v>
      </c>
      <c r="D322" t="s">
        <v>727</v>
      </c>
      <c r="E322" t="s">
        <v>279</v>
      </c>
      <c r="F322" t="s">
        <v>1083</v>
      </c>
      <c r="G322" t="s">
        <v>1084</v>
      </c>
      <c r="H322">
        <f t="shared" si="50"/>
        <v>10900000</v>
      </c>
      <c r="I322">
        <f t="shared" si="51"/>
        <v>503100</v>
      </c>
      <c r="J322">
        <f t="shared" si="52"/>
        <v>862300</v>
      </c>
      <c r="K322" s="2">
        <f t="shared" si="53"/>
        <v>4.6155963302752297E-2</v>
      </c>
      <c r="L322" t="str">
        <f t="shared" si="54"/>
        <v>Tier 2</v>
      </c>
    </row>
    <row r="323" spans="1:12" x14ac:dyDescent="0.35">
      <c r="A323" s="1" t="s">
        <v>1085</v>
      </c>
      <c r="B323">
        <v>329</v>
      </c>
      <c r="C323" t="s">
        <v>1086</v>
      </c>
      <c r="D323" t="s">
        <v>1087</v>
      </c>
      <c r="E323" t="s">
        <v>10</v>
      </c>
      <c r="F323" t="s">
        <v>1088</v>
      </c>
      <c r="G323" t="s">
        <v>1089</v>
      </c>
      <c r="H323">
        <f t="shared" si="50"/>
        <v>40100000</v>
      </c>
      <c r="I323">
        <f t="shared" si="51"/>
        <v>179200</v>
      </c>
      <c r="J323">
        <f t="shared" si="52"/>
        <v>233400</v>
      </c>
      <c r="K323" s="2">
        <f t="shared" si="53"/>
        <v>4.468827930174564E-3</v>
      </c>
      <c r="L323" t="str">
        <f t="shared" si="54"/>
        <v>Tier 2</v>
      </c>
    </row>
    <row r="324" spans="1:12" x14ac:dyDescent="0.35">
      <c r="A324" s="1" t="s">
        <v>1090</v>
      </c>
      <c r="B324">
        <v>330</v>
      </c>
      <c r="C324" t="s">
        <v>26</v>
      </c>
      <c r="D324" t="s">
        <v>81</v>
      </c>
      <c r="E324" t="s">
        <v>58</v>
      </c>
      <c r="F324" t="s">
        <v>1091</v>
      </c>
      <c r="G324" t="s">
        <v>1092</v>
      </c>
      <c r="H324">
        <f t="shared" si="50"/>
        <v>9900000</v>
      </c>
      <c r="I324">
        <f t="shared" si="51"/>
        <v>725800</v>
      </c>
      <c r="J324">
        <f t="shared" si="52"/>
        <v>959700</v>
      </c>
      <c r="K324" s="2">
        <f t="shared" si="53"/>
        <v>7.3313131313131316E-2</v>
      </c>
      <c r="L324" t="str">
        <f t="shared" si="54"/>
        <v>Tier 1</v>
      </c>
    </row>
    <row r="325" spans="1:12" x14ac:dyDescent="0.35">
      <c r="A325" s="1" t="s">
        <v>1093</v>
      </c>
      <c r="B325">
        <v>331</v>
      </c>
      <c r="C325" t="s">
        <v>50</v>
      </c>
      <c r="D325" t="s">
        <v>462</v>
      </c>
      <c r="E325" t="s">
        <v>42</v>
      </c>
      <c r="F325" t="s">
        <v>1094</v>
      </c>
      <c r="G325" t="s">
        <v>1095</v>
      </c>
      <c r="H325">
        <f t="shared" si="50"/>
        <v>29500000</v>
      </c>
      <c r="I325">
        <f t="shared" si="51"/>
        <v>198700</v>
      </c>
      <c r="J325">
        <f t="shared" si="52"/>
        <v>315700</v>
      </c>
      <c r="K325" s="2">
        <f t="shared" si="53"/>
        <v>6.735593220338983E-3</v>
      </c>
      <c r="L325" t="str">
        <f t="shared" si="54"/>
        <v>Tier 2</v>
      </c>
    </row>
    <row r="326" spans="1:12" x14ac:dyDescent="0.35">
      <c r="A326" s="1" t="s">
        <v>1096</v>
      </c>
      <c r="B326">
        <v>332</v>
      </c>
      <c r="C326" t="s">
        <v>1097</v>
      </c>
      <c r="D326" t="s">
        <v>386</v>
      </c>
      <c r="E326" t="s">
        <v>22</v>
      </c>
      <c r="F326" t="s">
        <v>1098</v>
      </c>
      <c r="G326" t="s">
        <v>1099</v>
      </c>
      <c r="H326">
        <f t="shared" si="50"/>
        <v>25400000</v>
      </c>
      <c r="I326">
        <f t="shared" si="51"/>
        <v>217300</v>
      </c>
      <c r="J326">
        <f t="shared" si="52"/>
        <v>365000</v>
      </c>
      <c r="K326" s="2">
        <f t="shared" si="53"/>
        <v>8.5551181102362199E-3</v>
      </c>
      <c r="L326" t="str">
        <f t="shared" si="54"/>
        <v>Tier 2</v>
      </c>
    </row>
    <row r="327" spans="1:12" x14ac:dyDescent="0.35">
      <c r="A327" s="1" t="s">
        <v>1100</v>
      </c>
      <c r="B327">
        <v>333</v>
      </c>
      <c r="C327" t="s">
        <v>26</v>
      </c>
      <c r="D327" t="s">
        <v>1101</v>
      </c>
      <c r="E327" t="s">
        <v>1102</v>
      </c>
      <c r="F327" t="s">
        <v>1103</v>
      </c>
      <c r="G327" t="s">
        <v>1104</v>
      </c>
      <c r="H327">
        <f t="shared" si="50"/>
        <v>11600000</v>
      </c>
      <c r="I327">
        <f t="shared" si="51"/>
        <v>565800</v>
      </c>
      <c r="J327">
        <f t="shared" si="52"/>
        <v>794000</v>
      </c>
      <c r="K327" s="2">
        <f t="shared" si="53"/>
        <v>4.8775862068965517E-2</v>
      </c>
      <c r="L327" t="str">
        <f t="shared" si="54"/>
        <v>Tier 2</v>
      </c>
    </row>
    <row r="328" spans="1:12" x14ac:dyDescent="0.35">
      <c r="A328" s="1" t="s">
        <v>1105</v>
      </c>
      <c r="B328">
        <v>334</v>
      </c>
      <c r="C328" t="s">
        <v>8</v>
      </c>
      <c r="D328" t="s">
        <v>1106</v>
      </c>
      <c r="E328" t="s">
        <v>1102</v>
      </c>
      <c r="F328" t="s">
        <v>1107</v>
      </c>
      <c r="G328" t="s">
        <v>1108</v>
      </c>
      <c r="H328">
        <f t="shared" si="50"/>
        <v>18000000</v>
      </c>
      <c r="I328">
        <f t="shared" si="51"/>
        <v>322400</v>
      </c>
      <c r="J328">
        <f t="shared" si="52"/>
        <v>499500</v>
      </c>
      <c r="K328" s="2">
        <f t="shared" si="53"/>
        <v>1.791111111111111E-2</v>
      </c>
      <c r="L328" t="str">
        <f t="shared" si="54"/>
        <v>Tier 2</v>
      </c>
    </row>
    <row r="329" spans="1:12" x14ac:dyDescent="0.35">
      <c r="A329" s="1" t="s">
        <v>1109</v>
      </c>
      <c r="B329">
        <v>335</v>
      </c>
      <c r="C329" t="s">
        <v>1110</v>
      </c>
      <c r="D329" t="s">
        <v>1111</v>
      </c>
      <c r="E329" t="s">
        <v>22</v>
      </c>
      <c r="F329" t="s">
        <v>1112</v>
      </c>
      <c r="G329" t="s">
        <v>1113</v>
      </c>
      <c r="H329">
        <f t="shared" si="50"/>
        <v>65400000.000000007</v>
      </c>
      <c r="I329">
        <f t="shared" si="51"/>
        <v>115900</v>
      </c>
      <c r="J329">
        <f t="shared" si="52"/>
        <v>136600</v>
      </c>
      <c r="K329" s="2">
        <f t="shared" si="53"/>
        <v>1.7721712538226297E-3</v>
      </c>
      <c r="L329" t="str">
        <f t="shared" si="54"/>
        <v>Tier 3</v>
      </c>
    </row>
    <row r="330" spans="1:12" x14ac:dyDescent="0.35">
      <c r="A330" s="1" t="s">
        <v>1114</v>
      </c>
      <c r="B330">
        <v>336</v>
      </c>
      <c r="D330" t="s">
        <v>1115</v>
      </c>
      <c r="E330" t="s">
        <v>141</v>
      </c>
      <c r="F330" t="s">
        <v>1116</v>
      </c>
      <c r="G330" t="s">
        <v>1117</v>
      </c>
      <c r="H330">
        <f t="shared" si="50"/>
        <v>11000000</v>
      </c>
      <c r="I330">
        <f t="shared" si="51"/>
        <v>669100</v>
      </c>
      <c r="J330">
        <f t="shared" si="52"/>
        <v>803900</v>
      </c>
      <c r="K330" s="2">
        <f t="shared" si="53"/>
        <v>6.082727272727273E-2</v>
      </c>
      <c r="L330" t="str">
        <f t="shared" si="54"/>
        <v>Tier 2</v>
      </c>
    </row>
    <row r="331" spans="1:12" x14ac:dyDescent="0.35">
      <c r="A331" s="1" t="s">
        <v>1118</v>
      </c>
      <c r="B331">
        <v>337</v>
      </c>
      <c r="C331" t="s">
        <v>26</v>
      </c>
      <c r="D331" t="s">
        <v>905</v>
      </c>
      <c r="E331" t="s">
        <v>252</v>
      </c>
      <c r="F331" t="s">
        <v>1119</v>
      </c>
      <c r="G331" t="s">
        <v>1120</v>
      </c>
      <c r="H331">
        <f t="shared" si="50"/>
        <v>14200000</v>
      </c>
      <c r="I331">
        <f t="shared" si="51"/>
        <v>449700</v>
      </c>
      <c r="J331">
        <f t="shared" si="52"/>
        <v>622100</v>
      </c>
      <c r="K331" s="2">
        <f t="shared" si="53"/>
        <v>3.1669014084507043E-2</v>
      </c>
      <c r="L331" t="str">
        <f t="shared" si="54"/>
        <v>Tier 2</v>
      </c>
    </row>
    <row r="332" spans="1:12" x14ac:dyDescent="0.35">
      <c r="A332" s="1" t="s">
        <v>1121</v>
      </c>
      <c r="B332">
        <v>338</v>
      </c>
      <c r="C332" t="s">
        <v>69</v>
      </c>
      <c r="D332" t="s">
        <v>80</v>
      </c>
      <c r="E332" t="s">
        <v>22</v>
      </c>
      <c r="F332" t="s">
        <v>1122</v>
      </c>
      <c r="G332" t="s">
        <v>1123</v>
      </c>
      <c r="H332">
        <f t="shared" si="50"/>
        <v>37400000</v>
      </c>
      <c r="I332">
        <f t="shared" si="51"/>
        <v>180700</v>
      </c>
      <c r="J332">
        <f t="shared" si="52"/>
        <v>235100</v>
      </c>
      <c r="K332" s="2">
        <f t="shared" si="53"/>
        <v>4.831550802139037E-3</v>
      </c>
      <c r="L332" t="str">
        <f t="shared" si="54"/>
        <v>Tier 2</v>
      </c>
    </row>
    <row r="333" spans="1:12" x14ac:dyDescent="0.35">
      <c r="A333" s="1" t="s">
        <v>1124</v>
      </c>
      <c r="B333">
        <v>339</v>
      </c>
      <c r="C333" t="s">
        <v>26</v>
      </c>
      <c r="D333" t="s">
        <v>1125</v>
      </c>
      <c r="E333" t="s">
        <v>58</v>
      </c>
      <c r="F333" t="s">
        <v>1126</v>
      </c>
      <c r="G333" t="s">
        <v>1127</v>
      </c>
      <c r="H333">
        <f t="shared" si="50"/>
        <v>17200000</v>
      </c>
      <c r="I333">
        <f t="shared" si="51"/>
        <v>414300</v>
      </c>
      <c r="J333">
        <f t="shared" si="52"/>
        <v>507300</v>
      </c>
      <c r="K333" s="2">
        <f t="shared" si="53"/>
        <v>2.4087209302325583E-2</v>
      </c>
      <c r="L333" t="str">
        <f t="shared" si="54"/>
        <v>Tier 2</v>
      </c>
    </row>
    <row r="334" spans="1:12" x14ac:dyDescent="0.35">
      <c r="A334" s="1" t="s">
        <v>1128</v>
      </c>
      <c r="B334">
        <v>340</v>
      </c>
      <c r="C334" t="s">
        <v>26</v>
      </c>
      <c r="D334" t="s">
        <v>673</v>
      </c>
      <c r="E334" t="s">
        <v>58</v>
      </c>
      <c r="F334" t="s">
        <v>1129</v>
      </c>
      <c r="G334" t="s">
        <v>1130</v>
      </c>
      <c r="H334">
        <f t="shared" si="50"/>
        <v>25700000</v>
      </c>
      <c r="I334">
        <f t="shared" si="51"/>
        <v>263000</v>
      </c>
      <c r="J334">
        <f t="shared" si="52"/>
        <v>339000</v>
      </c>
      <c r="K334" s="2">
        <f t="shared" si="53"/>
        <v>1.0233463035019456E-2</v>
      </c>
      <c r="L334" t="str">
        <f t="shared" si="54"/>
        <v>Tier 2</v>
      </c>
    </row>
    <row r="335" spans="1:12" x14ac:dyDescent="0.35">
      <c r="A335" s="1" t="s">
        <v>1131</v>
      </c>
      <c r="B335">
        <v>341</v>
      </c>
      <c r="C335" t="s">
        <v>26</v>
      </c>
      <c r="D335" t="s">
        <v>1132</v>
      </c>
      <c r="E335" t="s">
        <v>141</v>
      </c>
      <c r="F335" t="s">
        <v>1133</v>
      </c>
      <c r="G335" t="s">
        <v>1134</v>
      </c>
      <c r="H335">
        <f t="shared" si="50"/>
        <v>52800000</v>
      </c>
      <c r="I335">
        <f t="shared" si="51"/>
        <v>125000</v>
      </c>
      <c r="J335">
        <f t="shared" si="52"/>
        <v>163600</v>
      </c>
      <c r="K335" s="2">
        <f t="shared" si="53"/>
        <v>2.3674242424242425E-3</v>
      </c>
      <c r="L335" t="str">
        <f t="shared" si="54"/>
        <v>Tier 3</v>
      </c>
    </row>
    <row r="336" spans="1:12" x14ac:dyDescent="0.35">
      <c r="A336" s="1" t="s">
        <v>1135</v>
      </c>
      <c r="B336">
        <v>342</v>
      </c>
      <c r="C336" t="s">
        <v>1136</v>
      </c>
      <c r="D336" t="s">
        <v>680</v>
      </c>
      <c r="E336" t="s">
        <v>22</v>
      </c>
      <c r="F336" t="s">
        <v>1137</v>
      </c>
      <c r="G336" t="s">
        <v>1138</v>
      </c>
      <c r="H336">
        <f t="shared" si="50"/>
        <v>14000000</v>
      </c>
      <c r="I336">
        <f t="shared" si="51"/>
        <v>392300</v>
      </c>
      <c r="J336">
        <f t="shared" si="52"/>
        <v>611800</v>
      </c>
      <c r="K336" s="2">
        <f t="shared" si="53"/>
        <v>2.8021428571428572E-2</v>
      </c>
      <c r="L336" t="str">
        <f t="shared" si="54"/>
        <v>Tier 2</v>
      </c>
    </row>
    <row r="337" spans="1:12" x14ac:dyDescent="0.35">
      <c r="A337" s="1" t="s">
        <v>1139</v>
      </c>
      <c r="B337">
        <v>343</v>
      </c>
      <c r="C337" t="s">
        <v>8</v>
      </c>
      <c r="D337" t="s">
        <v>1140</v>
      </c>
      <c r="E337" t="s">
        <v>1102</v>
      </c>
      <c r="F337" t="s">
        <v>1141</v>
      </c>
      <c r="G337" t="s">
        <v>1142</v>
      </c>
      <c r="H337">
        <f t="shared" si="50"/>
        <v>59000000</v>
      </c>
      <c r="I337">
        <f t="shared" si="51"/>
        <v>92300</v>
      </c>
      <c r="J337">
        <f t="shared" si="52"/>
        <v>145200</v>
      </c>
      <c r="K337" s="2">
        <f t="shared" si="53"/>
        <v>1.5644067796610169E-3</v>
      </c>
      <c r="L337" t="str">
        <f t="shared" si="54"/>
        <v>Tier 3</v>
      </c>
    </row>
    <row r="338" spans="1:12" x14ac:dyDescent="0.35">
      <c r="A338" s="1" t="s">
        <v>1143</v>
      </c>
      <c r="B338">
        <v>344</v>
      </c>
      <c r="C338" t="s">
        <v>69</v>
      </c>
      <c r="D338" t="s">
        <v>1144</v>
      </c>
      <c r="E338" t="s">
        <v>22</v>
      </c>
      <c r="F338" t="s">
        <v>1145</v>
      </c>
      <c r="G338" t="s">
        <v>1146</v>
      </c>
      <c r="H338">
        <f t="shared" si="50"/>
        <v>20200000</v>
      </c>
      <c r="I338">
        <f t="shared" si="51"/>
        <v>281800</v>
      </c>
      <c r="J338">
        <f t="shared" si="52"/>
        <v>422700</v>
      </c>
      <c r="K338" s="2">
        <f t="shared" si="53"/>
        <v>1.3950495049504951E-2</v>
      </c>
      <c r="L338" t="str">
        <f t="shared" si="54"/>
        <v>Tier 2</v>
      </c>
    </row>
    <row r="339" spans="1:12" x14ac:dyDescent="0.35">
      <c r="A339" s="1" t="s">
        <v>1147</v>
      </c>
      <c r="B339">
        <v>345</v>
      </c>
      <c r="C339" t="s">
        <v>310</v>
      </c>
      <c r="D339" t="s">
        <v>1148</v>
      </c>
      <c r="E339" t="s">
        <v>114</v>
      </c>
      <c r="F339" t="s">
        <v>1149</v>
      </c>
      <c r="G339" t="s">
        <v>1150</v>
      </c>
      <c r="H339">
        <f t="shared" si="50"/>
        <v>10100000</v>
      </c>
      <c r="I339">
        <f t="shared" si="51"/>
        <v>691600</v>
      </c>
      <c r="J339">
        <f t="shared" si="52"/>
        <v>832200</v>
      </c>
      <c r="K339" s="2">
        <f t="shared" si="53"/>
        <v>6.8475247524752481E-2</v>
      </c>
      <c r="L339" t="str">
        <f t="shared" si="54"/>
        <v>Tier 2</v>
      </c>
    </row>
    <row r="340" spans="1:12" x14ac:dyDescent="0.35">
      <c r="A340" s="1" t="s">
        <v>1151</v>
      </c>
      <c r="B340">
        <v>346</v>
      </c>
      <c r="C340" t="s">
        <v>1152</v>
      </c>
      <c r="D340" t="s">
        <v>1153</v>
      </c>
      <c r="E340" t="s">
        <v>22</v>
      </c>
      <c r="F340" t="s">
        <v>1154</v>
      </c>
      <c r="G340" t="s">
        <v>1155</v>
      </c>
      <c r="H340">
        <f t="shared" si="50"/>
        <v>25000000</v>
      </c>
      <c r="I340">
        <f t="shared" si="51"/>
        <v>228900</v>
      </c>
      <c r="J340">
        <f t="shared" si="52"/>
        <v>335500</v>
      </c>
      <c r="K340" s="2">
        <f t="shared" si="53"/>
        <v>9.1559999999999992E-3</v>
      </c>
      <c r="L340" t="str">
        <f t="shared" si="54"/>
        <v>Tier 2</v>
      </c>
    </row>
    <row r="341" spans="1:12" x14ac:dyDescent="0.35">
      <c r="A341" s="1" t="s">
        <v>1156</v>
      </c>
      <c r="B341">
        <v>347</v>
      </c>
      <c r="C341" t="s">
        <v>76</v>
      </c>
      <c r="D341" t="s">
        <v>34</v>
      </c>
      <c r="E341" t="s">
        <v>22</v>
      </c>
      <c r="F341" t="s">
        <v>1157</v>
      </c>
      <c r="G341" t="s">
        <v>135</v>
      </c>
      <c r="H341">
        <f t="shared" si="50"/>
        <v>5800000</v>
      </c>
      <c r="I341">
        <f t="shared" si="51"/>
        <v>695700</v>
      </c>
      <c r="J341">
        <f t="shared" si="52"/>
        <v>1500000</v>
      </c>
      <c r="K341" s="2">
        <f t="shared" si="53"/>
        <v>0.11994827586206896</v>
      </c>
      <c r="L341" t="str">
        <f t="shared" si="54"/>
        <v>Tier 1</v>
      </c>
    </row>
    <row r="342" spans="1:12" x14ac:dyDescent="0.35">
      <c r="A342" s="1" t="s">
        <v>1158</v>
      </c>
      <c r="B342">
        <v>348</v>
      </c>
      <c r="C342" t="s">
        <v>157</v>
      </c>
      <c r="D342" t="s">
        <v>1159</v>
      </c>
      <c r="E342" t="s">
        <v>10</v>
      </c>
      <c r="F342" t="s">
        <v>1160</v>
      </c>
      <c r="G342" t="s">
        <v>1161</v>
      </c>
      <c r="H342">
        <f t="shared" si="50"/>
        <v>32000000</v>
      </c>
      <c r="I342">
        <f t="shared" si="51"/>
        <v>225300</v>
      </c>
      <c r="J342">
        <f t="shared" si="52"/>
        <v>259600.00000000003</v>
      </c>
      <c r="K342" s="2">
        <f t="shared" si="53"/>
        <v>7.040625E-3</v>
      </c>
      <c r="L342" t="str">
        <f t="shared" si="54"/>
        <v>Tier 2</v>
      </c>
    </row>
    <row r="343" spans="1:12" x14ac:dyDescent="0.35">
      <c r="A343" s="1" t="s">
        <v>1162</v>
      </c>
      <c r="B343">
        <v>349</v>
      </c>
      <c r="C343" t="s">
        <v>330</v>
      </c>
      <c r="D343" t="s">
        <v>832</v>
      </c>
      <c r="E343" t="s">
        <v>22</v>
      </c>
      <c r="F343" t="s">
        <v>1163</v>
      </c>
      <c r="G343" t="s">
        <v>1164</v>
      </c>
      <c r="H343">
        <f t="shared" si="50"/>
        <v>10200000</v>
      </c>
      <c r="I343">
        <f t="shared" si="51"/>
        <v>533100</v>
      </c>
      <c r="J343">
        <f t="shared" si="52"/>
        <v>807000</v>
      </c>
      <c r="K343" s="2">
        <f t="shared" si="53"/>
        <v>5.2264705882352942E-2</v>
      </c>
      <c r="L343" t="str">
        <f t="shared" si="54"/>
        <v>Tier 2</v>
      </c>
    </row>
    <row r="344" spans="1:12" x14ac:dyDescent="0.35">
      <c r="A344" s="1" t="s">
        <v>1165</v>
      </c>
      <c r="B344">
        <v>350</v>
      </c>
      <c r="C344" t="s">
        <v>1166</v>
      </c>
      <c r="D344" t="s">
        <v>1167</v>
      </c>
      <c r="E344" t="s">
        <v>10</v>
      </c>
      <c r="F344" t="s">
        <v>1168</v>
      </c>
      <c r="G344" t="s">
        <v>1169</v>
      </c>
      <c r="H344">
        <f t="shared" si="50"/>
        <v>13400000</v>
      </c>
      <c r="I344">
        <f t="shared" si="51"/>
        <v>539300</v>
      </c>
      <c r="J344">
        <f t="shared" si="52"/>
        <v>616300</v>
      </c>
      <c r="K344" s="2">
        <f t="shared" si="53"/>
        <v>4.0246268656716419E-2</v>
      </c>
      <c r="L344" t="str">
        <f t="shared" si="54"/>
        <v>Tier 2</v>
      </c>
    </row>
    <row r="345" spans="1:12" x14ac:dyDescent="0.35">
      <c r="A345" s="1" t="s">
        <v>1170</v>
      </c>
      <c r="B345">
        <v>351</v>
      </c>
      <c r="C345" t="s">
        <v>200</v>
      </c>
      <c r="D345" t="s">
        <v>1171</v>
      </c>
      <c r="E345" t="s">
        <v>279</v>
      </c>
      <c r="F345" t="s">
        <v>1172</v>
      </c>
      <c r="G345" t="s">
        <v>434</v>
      </c>
      <c r="H345">
        <f t="shared" si="50"/>
        <v>7800000</v>
      </c>
      <c r="I345">
        <f t="shared" si="51"/>
        <v>725400</v>
      </c>
      <c r="J345">
        <f t="shared" si="52"/>
        <v>1000000</v>
      </c>
      <c r="K345" s="2">
        <f t="shared" si="53"/>
        <v>9.2999999999999999E-2</v>
      </c>
      <c r="L345" t="str">
        <f t="shared" si="54"/>
        <v>Tier 1</v>
      </c>
    </row>
    <row r="346" spans="1:12" x14ac:dyDescent="0.35">
      <c r="A346" s="1" t="s">
        <v>1173</v>
      </c>
      <c r="B346">
        <v>352</v>
      </c>
      <c r="C346" t="s">
        <v>546</v>
      </c>
      <c r="D346" t="s">
        <v>913</v>
      </c>
      <c r="E346" t="s">
        <v>22</v>
      </c>
      <c r="F346" t="s">
        <v>1174</v>
      </c>
      <c r="G346" t="s">
        <v>1175</v>
      </c>
      <c r="H346">
        <f t="shared" si="50"/>
        <v>13100000</v>
      </c>
      <c r="I346">
        <f t="shared" si="51"/>
        <v>325400</v>
      </c>
      <c r="J346">
        <f t="shared" si="52"/>
        <v>610900</v>
      </c>
      <c r="K346" s="2">
        <f t="shared" si="53"/>
        <v>2.483969465648855E-2</v>
      </c>
      <c r="L346" t="str">
        <f t="shared" si="54"/>
        <v>Tier 2</v>
      </c>
    </row>
    <row r="347" spans="1:12" x14ac:dyDescent="0.35">
      <c r="A347" s="1" t="s">
        <v>1176</v>
      </c>
      <c r="B347">
        <v>353</v>
      </c>
      <c r="C347" t="s">
        <v>1177</v>
      </c>
      <c r="D347" t="s">
        <v>1178</v>
      </c>
      <c r="E347" t="s">
        <v>22</v>
      </c>
      <c r="F347" t="s">
        <v>1179</v>
      </c>
      <c r="G347" t="s">
        <v>1180</v>
      </c>
      <c r="H347">
        <f t="shared" si="50"/>
        <v>50300000</v>
      </c>
      <c r="I347">
        <f t="shared" si="51"/>
        <v>144700</v>
      </c>
      <c r="J347">
        <f t="shared" si="52"/>
        <v>159800</v>
      </c>
      <c r="K347" s="2">
        <f t="shared" si="53"/>
        <v>2.8767395626242546E-3</v>
      </c>
      <c r="L347" t="str">
        <f t="shared" si="54"/>
        <v>Tier 3</v>
      </c>
    </row>
    <row r="348" spans="1:12" x14ac:dyDescent="0.35">
      <c r="A348" s="1" t="s">
        <v>1181</v>
      </c>
      <c r="B348">
        <v>354</v>
      </c>
      <c r="C348" t="s">
        <v>157</v>
      </c>
      <c r="D348" t="s">
        <v>832</v>
      </c>
      <c r="E348" t="s">
        <v>22</v>
      </c>
      <c r="F348" t="s">
        <v>1182</v>
      </c>
      <c r="G348" t="s">
        <v>1183</v>
      </c>
      <c r="H348">
        <f t="shared" si="50"/>
        <v>10200000</v>
      </c>
      <c r="I348">
        <f t="shared" si="51"/>
        <v>392600</v>
      </c>
      <c r="J348">
        <f t="shared" si="52"/>
        <v>783800</v>
      </c>
      <c r="K348" s="2">
        <f t="shared" si="53"/>
        <v>3.849019607843137E-2</v>
      </c>
      <c r="L348" t="str">
        <f t="shared" si="54"/>
        <v>Tier 2</v>
      </c>
    </row>
    <row r="349" spans="1:12" x14ac:dyDescent="0.35">
      <c r="A349" s="1" t="s">
        <v>1184</v>
      </c>
      <c r="B349">
        <v>355</v>
      </c>
      <c r="C349" t="s">
        <v>1185</v>
      </c>
      <c r="D349" t="s">
        <v>1186</v>
      </c>
      <c r="E349" t="s">
        <v>58</v>
      </c>
      <c r="F349" t="s">
        <v>1187</v>
      </c>
      <c r="G349" t="s">
        <v>1188</v>
      </c>
      <c r="H349">
        <f t="shared" si="50"/>
        <v>23900000</v>
      </c>
      <c r="I349">
        <f t="shared" si="51"/>
        <v>243200</v>
      </c>
      <c r="J349">
        <f t="shared" si="52"/>
        <v>333300</v>
      </c>
      <c r="K349" s="2">
        <f t="shared" si="53"/>
        <v>1.0175732217573221E-2</v>
      </c>
      <c r="L349" t="str">
        <f t="shared" si="54"/>
        <v>Tier 2</v>
      </c>
    </row>
    <row r="350" spans="1:12" x14ac:dyDescent="0.35">
      <c r="A350" s="1" t="s">
        <v>1189</v>
      </c>
      <c r="B350">
        <v>356</v>
      </c>
      <c r="C350" t="s">
        <v>157</v>
      </c>
      <c r="D350" t="s">
        <v>576</v>
      </c>
      <c r="E350" t="s">
        <v>141</v>
      </c>
      <c r="F350" t="s">
        <v>1190</v>
      </c>
      <c r="G350" t="s">
        <v>1191</v>
      </c>
      <c r="H350">
        <f t="shared" si="50"/>
        <v>14100000</v>
      </c>
      <c r="I350">
        <f t="shared" si="51"/>
        <v>389500</v>
      </c>
      <c r="J350">
        <f t="shared" si="52"/>
        <v>563700</v>
      </c>
      <c r="K350" s="2">
        <f t="shared" si="53"/>
        <v>2.7624113475177306E-2</v>
      </c>
      <c r="L350" t="str">
        <f t="shared" si="54"/>
        <v>Tier 2</v>
      </c>
    </row>
    <row r="351" spans="1:12" x14ac:dyDescent="0.35">
      <c r="A351" s="1" t="s">
        <v>1192</v>
      </c>
      <c r="B351">
        <v>357</v>
      </c>
      <c r="C351" t="s">
        <v>1193</v>
      </c>
      <c r="D351" t="s">
        <v>742</v>
      </c>
      <c r="E351" t="s">
        <v>22</v>
      </c>
      <c r="F351" t="s">
        <v>1194</v>
      </c>
      <c r="G351" t="s">
        <v>1195</v>
      </c>
      <c r="H351">
        <f t="shared" si="50"/>
        <v>9000000</v>
      </c>
      <c r="I351">
        <f t="shared" si="51"/>
        <v>542000</v>
      </c>
      <c r="J351">
        <f t="shared" si="52"/>
        <v>895000</v>
      </c>
      <c r="K351" s="2">
        <f t="shared" si="53"/>
        <v>6.0222222222222226E-2</v>
      </c>
      <c r="L351" t="str">
        <f t="shared" si="54"/>
        <v>Tier 1</v>
      </c>
    </row>
    <row r="352" spans="1:12" x14ac:dyDescent="0.35">
      <c r="A352" s="1" t="s">
        <v>1196</v>
      </c>
      <c r="B352">
        <v>358</v>
      </c>
      <c r="C352" t="s">
        <v>1197</v>
      </c>
      <c r="D352" t="s">
        <v>1198</v>
      </c>
      <c r="E352" t="s">
        <v>519</v>
      </c>
      <c r="F352" t="s">
        <v>1199</v>
      </c>
      <c r="G352" t="s">
        <v>1200</v>
      </c>
      <c r="H352">
        <f t="shared" si="50"/>
        <v>19500000</v>
      </c>
      <c r="I352">
        <f t="shared" si="51"/>
        <v>296500</v>
      </c>
      <c r="J352">
        <f t="shared" si="52"/>
        <v>410200</v>
      </c>
      <c r="K352" s="2">
        <f t="shared" si="53"/>
        <v>1.5205128205128204E-2</v>
      </c>
      <c r="L352" t="str">
        <f t="shared" si="54"/>
        <v>Tier 2</v>
      </c>
    </row>
    <row r="353" spans="1:12" x14ac:dyDescent="0.35">
      <c r="A353" s="1" t="s">
        <v>1201</v>
      </c>
      <c r="B353">
        <v>359</v>
      </c>
      <c r="C353" t="s">
        <v>26</v>
      </c>
      <c r="D353" t="s">
        <v>1202</v>
      </c>
      <c r="E353" t="s">
        <v>16</v>
      </c>
      <c r="F353" t="s">
        <v>1203</v>
      </c>
      <c r="G353" t="s">
        <v>1204</v>
      </c>
      <c r="H353">
        <f t="shared" si="50"/>
        <v>12200000</v>
      </c>
      <c r="I353">
        <f t="shared" si="51"/>
        <v>439000</v>
      </c>
      <c r="J353">
        <f t="shared" si="52"/>
        <v>649500</v>
      </c>
      <c r="K353" s="2">
        <f t="shared" si="53"/>
        <v>3.5983606557377049E-2</v>
      </c>
      <c r="L353" t="str">
        <f t="shared" si="54"/>
        <v>Tier 2</v>
      </c>
    </row>
    <row r="354" spans="1:12" x14ac:dyDescent="0.35">
      <c r="A354" s="1" t="s">
        <v>1205</v>
      </c>
      <c r="B354">
        <v>360</v>
      </c>
      <c r="C354" t="s">
        <v>1206</v>
      </c>
      <c r="D354" t="s">
        <v>1207</v>
      </c>
      <c r="E354" t="s">
        <v>22</v>
      </c>
      <c r="F354" t="s">
        <v>1208</v>
      </c>
      <c r="G354" t="s">
        <v>1209</v>
      </c>
      <c r="H354">
        <f t="shared" si="50"/>
        <v>19900000</v>
      </c>
      <c r="I354">
        <f t="shared" si="51"/>
        <v>305400</v>
      </c>
      <c r="J354">
        <f t="shared" si="52"/>
        <v>398200</v>
      </c>
      <c r="K354" s="2">
        <f t="shared" si="53"/>
        <v>1.5346733668341708E-2</v>
      </c>
      <c r="L354" t="str">
        <f t="shared" si="54"/>
        <v>Tier 2</v>
      </c>
    </row>
    <row r="355" spans="1:12" x14ac:dyDescent="0.35">
      <c r="A355" s="1" t="s">
        <v>1210</v>
      </c>
      <c r="B355">
        <v>361</v>
      </c>
      <c r="C355" t="s">
        <v>180</v>
      </c>
      <c r="D355" t="s">
        <v>1211</v>
      </c>
      <c r="E355" t="s">
        <v>58</v>
      </c>
      <c r="F355" t="s">
        <v>1212</v>
      </c>
      <c r="G355" t="s">
        <v>1213</v>
      </c>
      <c r="H355">
        <f t="shared" si="50"/>
        <v>38900000</v>
      </c>
      <c r="I355">
        <f t="shared" si="51"/>
        <v>170100</v>
      </c>
      <c r="J355">
        <f t="shared" si="52"/>
        <v>200700</v>
      </c>
      <c r="K355" s="2">
        <f t="shared" si="53"/>
        <v>4.3727506426735219E-3</v>
      </c>
      <c r="L355" t="str">
        <f t="shared" si="54"/>
        <v>Tier 2</v>
      </c>
    </row>
    <row r="356" spans="1:12" x14ac:dyDescent="0.35">
      <c r="A356" s="1" t="s">
        <v>1214</v>
      </c>
      <c r="B356">
        <v>362</v>
      </c>
      <c r="C356" t="s">
        <v>436</v>
      </c>
      <c r="D356" t="s">
        <v>620</v>
      </c>
      <c r="E356" t="s">
        <v>22</v>
      </c>
      <c r="F356" t="s">
        <v>1215</v>
      </c>
      <c r="G356" t="s">
        <v>1216</v>
      </c>
      <c r="H356">
        <f t="shared" si="50"/>
        <v>8500000</v>
      </c>
      <c r="I356">
        <f t="shared" si="51"/>
        <v>765000</v>
      </c>
      <c r="J356">
        <f t="shared" si="52"/>
        <v>956800</v>
      </c>
      <c r="K356" s="2">
        <f t="shared" si="53"/>
        <v>0.09</v>
      </c>
      <c r="L356" t="str">
        <f t="shared" si="54"/>
        <v>Tier 1</v>
      </c>
    </row>
    <row r="357" spans="1:12" x14ac:dyDescent="0.35">
      <c r="A357" s="1" t="s">
        <v>1217</v>
      </c>
      <c r="B357">
        <v>363</v>
      </c>
      <c r="C357" t="s">
        <v>69</v>
      </c>
      <c r="D357" t="s">
        <v>649</v>
      </c>
      <c r="E357" t="s">
        <v>195</v>
      </c>
      <c r="F357" t="s">
        <v>1218</v>
      </c>
      <c r="G357" t="s">
        <v>163</v>
      </c>
      <c r="H357">
        <f t="shared" si="50"/>
        <v>10700000</v>
      </c>
      <c r="I357">
        <f t="shared" si="51"/>
        <v>567800</v>
      </c>
      <c r="J357">
        <f t="shared" si="52"/>
        <v>741700</v>
      </c>
      <c r="K357" s="2">
        <f t="shared" si="53"/>
        <v>5.3065420560747666E-2</v>
      </c>
      <c r="L357" t="str">
        <f t="shared" si="54"/>
        <v>Tier 2</v>
      </c>
    </row>
    <row r="358" spans="1:12" x14ac:dyDescent="0.35">
      <c r="A358" s="1" t="s">
        <v>1219</v>
      </c>
      <c r="B358">
        <v>364</v>
      </c>
      <c r="C358" t="s">
        <v>69</v>
      </c>
      <c r="D358" t="s">
        <v>1186</v>
      </c>
      <c r="E358" t="s">
        <v>10</v>
      </c>
      <c r="F358" t="s">
        <v>1220</v>
      </c>
      <c r="G358" t="s">
        <v>1221</v>
      </c>
      <c r="H358">
        <f t="shared" si="50"/>
        <v>23900000</v>
      </c>
      <c r="I358">
        <f t="shared" si="51"/>
        <v>267800</v>
      </c>
      <c r="J358">
        <f t="shared" si="52"/>
        <v>324400</v>
      </c>
      <c r="K358" s="2">
        <f t="shared" si="53"/>
        <v>1.1205020920502093E-2</v>
      </c>
      <c r="L358" t="str">
        <f t="shared" si="54"/>
        <v>Tier 2</v>
      </c>
    </row>
    <row r="359" spans="1:12" x14ac:dyDescent="0.35">
      <c r="A359" s="1" t="s">
        <v>1222</v>
      </c>
      <c r="B359">
        <v>365</v>
      </c>
      <c r="C359" t="s">
        <v>305</v>
      </c>
      <c r="D359" t="s">
        <v>1223</v>
      </c>
      <c r="E359" t="s">
        <v>256</v>
      </c>
      <c r="F359" t="s">
        <v>585</v>
      </c>
      <c r="G359" t="s">
        <v>1224</v>
      </c>
      <c r="H359">
        <f t="shared" si="50"/>
        <v>19400000</v>
      </c>
      <c r="I359">
        <f t="shared" si="51"/>
        <v>286100</v>
      </c>
      <c r="J359">
        <f t="shared" si="52"/>
        <v>401700</v>
      </c>
      <c r="K359" s="2">
        <f t="shared" si="53"/>
        <v>1.4747422680412372E-2</v>
      </c>
      <c r="L359" t="str">
        <f t="shared" si="54"/>
        <v>Tier 2</v>
      </c>
    </row>
    <row r="360" spans="1:12" x14ac:dyDescent="0.35">
      <c r="A360" s="1" t="s">
        <v>1225</v>
      </c>
      <c r="B360">
        <v>366</v>
      </c>
      <c r="C360" t="s">
        <v>69</v>
      </c>
      <c r="D360" t="s">
        <v>1226</v>
      </c>
      <c r="E360" t="s">
        <v>22</v>
      </c>
      <c r="F360" t="s">
        <v>1227</v>
      </c>
      <c r="G360" t="s">
        <v>1228</v>
      </c>
      <c r="H360">
        <f t="shared" si="50"/>
        <v>148800000</v>
      </c>
      <c r="I360">
        <f t="shared" si="51"/>
        <v>35500</v>
      </c>
      <c r="J360">
        <f t="shared" si="52"/>
        <v>52300</v>
      </c>
      <c r="K360" s="2">
        <f t="shared" si="53"/>
        <v>2.3857526881720429E-4</v>
      </c>
      <c r="L360" t="str">
        <f t="shared" si="54"/>
        <v>Tier 4</v>
      </c>
    </row>
    <row r="361" spans="1:12" x14ac:dyDescent="0.35">
      <c r="A361" s="1" t="s">
        <v>1229</v>
      </c>
      <c r="B361">
        <v>367</v>
      </c>
      <c r="C361" t="s">
        <v>364</v>
      </c>
      <c r="D361" t="s">
        <v>1207</v>
      </c>
      <c r="E361" t="s">
        <v>10</v>
      </c>
      <c r="F361" t="s">
        <v>1230</v>
      </c>
      <c r="G361" t="s">
        <v>1231</v>
      </c>
      <c r="H361">
        <f t="shared" si="50"/>
        <v>19900000</v>
      </c>
      <c r="I361">
        <f t="shared" si="51"/>
        <v>311500</v>
      </c>
      <c r="J361">
        <f t="shared" si="52"/>
        <v>387100</v>
      </c>
      <c r="K361" s="2">
        <f t="shared" si="53"/>
        <v>1.565326633165829E-2</v>
      </c>
      <c r="L361" t="str">
        <f t="shared" si="54"/>
        <v>Tier 2</v>
      </c>
    </row>
    <row r="362" spans="1:12" x14ac:dyDescent="0.35">
      <c r="A362" s="1" t="s">
        <v>1232</v>
      </c>
      <c r="B362">
        <v>368</v>
      </c>
      <c r="C362" t="s">
        <v>313</v>
      </c>
      <c r="D362" t="s">
        <v>1233</v>
      </c>
      <c r="E362" t="s">
        <v>22</v>
      </c>
      <c r="F362" t="s">
        <v>1234</v>
      </c>
      <c r="G362" t="s">
        <v>1235</v>
      </c>
      <c r="H362">
        <f t="shared" si="50"/>
        <v>26500000</v>
      </c>
      <c r="I362">
        <f t="shared" si="51"/>
        <v>184700</v>
      </c>
      <c r="J362">
        <f t="shared" si="52"/>
        <v>289800</v>
      </c>
      <c r="K362" s="2">
        <f t="shared" si="53"/>
        <v>6.9698113207547173E-3</v>
      </c>
      <c r="L362" t="str">
        <f t="shared" si="54"/>
        <v>Tier 2</v>
      </c>
    </row>
    <row r="363" spans="1:12" x14ac:dyDescent="0.35">
      <c r="A363" s="1" t="s">
        <v>1236</v>
      </c>
      <c r="B363">
        <v>369</v>
      </c>
      <c r="C363" t="s">
        <v>69</v>
      </c>
      <c r="D363" t="s">
        <v>1237</v>
      </c>
      <c r="E363" t="s">
        <v>42</v>
      </c>
      <c r="F363" t="s">
        <v>1238</v>
      </c>
      <c r="G363" t="s">
        <v>1239</v>
      </c>
      <c r="H363">
        <f t="shared" si="50"/>
        <v>43100000</v>
      </c>
      <c r="I363">
        <f t="shared" si="51"/>
        <v>105100</v>
      </c>
      <c r="J363">
        <f t="shared" si="52"/>
        <v>181800</v>
      </c>
      <c r="K363" s="2">
        <f t="shared" si="53"/>
        <v>2.4385150812064964E-3</v>
      </c>
      <c r="L363" t="str">
        <f t="shared" si="54"/>
        <v>Tier 2</v>
      </c>
    </row>
    <row r="364" spans="1:12" x14ac:dyDescent="0.35">
      <c r="A364" s="1" t="s">
        <v>1240</v>
      </c>
      <c r="B364">
        <v>370</v>
      </c>
      <c r="C364" t="s">
        <v>69</v>
      </c>
      <c r="D364" t="s">
        <v>576</v>
      </c>
      <c r="E364" t="s">
        <v>42</v>
      </c>
      <c r="F364" t="s">
        <v>1241</v>
      </c>
      <c r="G364" t="s">
        <v>1242</v>
      </c>
      <c r="H364">
        <f t="shared" si="50"/>
        <v>14100000</v>
      </c>
      <c r="I364">
        <f t="shared" si="51"/>
        <v>362200</v>
      </c>
      <c r="J364">
        <f t="shared" si="52"/>
        <v>545500</v>
      </c>
      <c r="K364" s="2">
        <f t="shared" si="53"/>
        <v>2.5687943262411347E-2</v>
      </c>
      <c r="L364" t="str">
        <f t="shared" si="54"/>
        <v>Tier 2</v>
      </c>
    </row>
    <row r="365" spans="1:12" x14ac:dyDescent="0.35">
      <c r="A365" s="1" t="s">
        <v>1243</v>
      </c>
      <c r="B365">
        <v>371</v>
      </c>
      <c r="C365" t="s">
        <v>69</v>
      </c>
      <c r="D365" t="s">
        <v>810</v>
      </c>
      <c r="E365" t="s">
        <v>22</v>
      </c>
      <c r="F365" t="s">
        <v>1244</v>
      </c>
      <c r="G365" t="s">
        <v>434</v>
      </c>
      <c r="H365">
        <f t="shared" si="50"/>
        <v>7600000</v>
      </c>
      <c r="I365">
        <f t="shared" si="51"/>
        <v>691500</v>
      </c>
      <c r="J365">
        <f t="shared" si="52"/>
        <v>1000000</v>
      </c>
      <c r="K365" s="2">
        <f t="shared" si="53"/>
        <v>9.0986842105263158E-2</v>
      </c>
      <c r="L365" t="str">
        <f t="shared" si="54"/>
        <v>Tier 1</v>
      </c>
    </row>
    <row r="366" spans="1:12" x14ac:dyDescent="0.35">
      <c r="A366" s="1" t="s">
        <v>1245</v>
      </c>
      <c r="B366">
        <v>372</v>
      </c>
      <c r="C366" t="s">
        <v>920</v>
      </c>
      <c r="D366" t="s">
        <v>490</v>
      </c>
      <c r="E366" t="s">
        <v>22</v>
      </c>
      <c r="F366" t="s">
        <v>1246</v>
      </c>
      <c r="G366" t="s">
        <v>1247</v>
      </c>
      <c r="H366">
        <f t="shared" si="50"/>
        <v>31800000</v>
      </c>
      <c r="I366">
        <f t="shared" si="51"/>
        <v>166000</v>
      </c>
      <c r="J366">
        <f t="shared" si="52"/>
        <v>241700</v>
      </c>
      <c r="K366" s="2">
        <f t="shared" si="53"/>
        <v>5.2201257861635222E-3</v>
      </c>
      <c r="L366" t="str">
        <f t="shared" si="54"/>
        <v>Tier 2</v>
      </c>
    </row>
    <row r="367" spans="1:12" x14ac:dyDescent="0.35">
      <c r="A367" s="1" t="s">
        <v>1248</v>
      </c>
      <c r="B367">
        <v>373</v>
      </c>
      <c r="C367" t="s">
        <v>26</v>
      </c>
      <c r="D367" t="s">
        <v>523</v>
      </c>
      <c r="E367" t="s">
        <v>42</v>
      </c>
      <c r="F367" t="s">
        <v>1249</v>
      </c>
      <c r="G367" t="s">
        <v>1250</v>
      </c>
      <c r="H367">
        <f t="shared" si="50"/>
        <v>16000000</v>
      </c>
      <c r="I367">
        <f t="shared" si="51"/>
        <v>227900</v>
      </c>
      <c r="J367">
        <f t="shared" si="52"/>
        <v>475500</v>
      </c>
      <c r="K367" s="2">
        <f t="shared" si="53"/>
        <v>1.4243749999999999E-2</v>
      </c>
      <c r="L367" t="str">
        <f t="shared" si="54"/>
        <v>Tier 2</v>
      </c>
    </row>
    <row r="368" spans="1:12" x14ac:dyDescent="0.35">
      <c r="A368" s="1" t="s">
        <v>1251</v>
      </c>
      <c r="B368">
        <v>374</v>
      </c>
      <c r="C368" t="s">
        <v>1097</v>
      </c>
      <c r="D368" t="s">
        <v>1252</v>
      </c>
      <c r="E368" t="s">
        <v>42</v>
      </c>
      <c r="F368" t="s">
        <v>1253</v>
      </c>
      <c r="G368" t="s">
        <v>1254</v>
      </c>
      <c r="H368">
        <f t="shared" si="50"/>
        <v>27700000</v>
      </c>
      <c r="I368">
        <f t="shared" si="51"/>
        <v>215000</v>
      </c>
      <c r="J368">
        <f t="shared" si="52"/>
        <v>275500</v>
      </c>
      <c r="K368" s="2">
        <f t="shared" si="53"/>
        <v>7.7617328519855597E-3</v>
      </c>
      <c r="L368" t="str">
        <f t="shared" si="54"/>
        <v>Tier 2</v>
      </c>
    </row>
    <row r="369" spans="1:12" x14ac:dyDescent="0.35">
      <c r="A369" s="1" t="s">
        <v>1255</v>
      </c>
      <c r="B369">
        <v>375</v>
      </c>
      <c r="C369" t="s">
        <v>26</v>
      </c>
      <c r="D369" t="s">
        <v>1256</v>
      </c>
      <c r="E369" t="s">
        <v>16</v>
      </c>
      <c r="F369" t="s">
        <v>1257</v>
      </c>
      <c r="G369" t="s">
        <v>1258</v>
      </c>
      <c r="H369">
        <f t="shared" si="50"/>
        <v>27500000</v>
      </c>
      <c r="I369">
        <f t="shared" si="51"/>
        <v>173600</v>
      </c>
      <c r="J369">
        <f t="shared" si="52"/>
        <v>275400</v>
      </c>
      <c r="K369" s="2">
        <f t="shared" si="53"/>
        <v>6.3127272727272728E-3</v>
      </c>
      <c r="L369" t="str">
        <f t="shared" si="54"/>
        <v>Tier 2</v>
      </c>
    </row>
    <row r="370" spans="1:12" x14ac:dyDescent="0.35">
      <c r="A370" s="1" t="s">
        <v>1259</v>
      </c>
      <c r="B370">
        <v>376</v>
      </c>
      <c r="C370" t="s">
        <v>69</v>
      </c>
      <c r="D370" t="s">
        <v>1260</v>
      </c>
      <c r="E370" t="s">
        <v>10</v>
      </c>
      <c r="F370" t="s">
        <v>1261</v>
      </c>
      <c r="G370" t="s">
        <v>1262</v>
      </c>
      <c r="H370">
        <f t="shared" si="50"/>
        <v>8100000</v>
      </c>
      <c r="I370">
        <f t="shared" si="51"/>
        <v>842700</v>
      </c>
      <c r="J370">
        <f t="shared" si="52"/>
        <v>944000</v>
      </c>
      <c r="K370" s="2">
        <f t="shared" si="53"/>
        <v>0.10403703703703704</v>
      </c>
      <c r="L370" t="str">
        <f t="shared" si="54"/>
        <v>Tier 1</v>
      </c>
    </row>
    <row r="371" spans="1:12" x14ac:dyDescent="0.35">
      <c r="A371" s="1" t="s">
        <v>1263</v>
      </c>
      <c r="B371">
        <v>377</v>
      </c>
      <c r="C371" t="s">
        <v>69</v>
      </c>
      <c r="D371" t="s">
        <v>201</v>
      </c>
      <c r="E371" t="s">
        <v>22</v>
      </c>
      <c r="F371" t="s">
        <v>1264</v>
      </c>
      <c r="G371" t="s">
        <v>1265</v>
      </c>
      <c r="H371">
        <f t="shared" si="50"/>
        <v>27000000</v>
      </c>
      <c r="I371">
        <f t="shared" si="51"/>
        <v>186700</v>
      </c>
      <c r="J371">
        <f t="shared" si="52"/>
        <v>277600</v>
      </c>
      <c r="K371" s="2">
        <f t="shared" si="53"/>
        <v>6.9148148148148146E-3</v>
      </c>
      <c r="L371" t="str">
        <f t="shared" si="54"/>
        <v>Tier 2</v>
      </c>
    </row>
    <row r="372" spans="1:12" x14ac:dyDescent="0.35">
      <c r="A372" s="1" t="s">
        <v>1266</v>
      </c>
      <c r="B372">
        <v>378</v>
      </c>
      <c r="C372" t="s">
        <v>26</v>
      </c>
      <c r="D372" t="s">
        <v>929</v>
      </c>
      <c r="E372" t="s">
        <v>22</v>
      </c>
      <c r="F372" t="s">
        <v>1267</v>
      </c>
      <c r="G372" t="s">
        <v>1268</v>
      </c>
      <c r="H372">
        <f t="shared" si="50"/>
        <v>12500000</v>
      </c>
      <c r="I372">
        <f t="shared" si="51"/>
        <v>358900</v>
      </c>
      <c r="J372">
        <f t="shared" si="52"/>
        <v>600800</v>
      </c>
      <c r="K372" s="2">
        <f t="shared" si="53"/>
        <v>2.8712000000000001E-2</v>
      </c>
      <c r="L372" t="str">
        <f t="shared" si="54"/>
        <v>Tier 2</v>
      </c>
    </row>
    <row r="373" spans="1:12" x14ac:dyDescent="0.35">
      <c r="A373" s="1" t="s">
        <v>1269</v>
      </c>
      <c r="B373">
        <v>379</v>
      </c>
      <c r="C373" t="s">
        <v>1270</v>
      </c>
      <c r="D373" t="s">
        <v>748</v>
      </c>
      <c r="E373" t="s">
        <v>22</v>
      </c>
      <c r="F373" t="s">
        <v>1271</v>
      </c>
      <c r="G373" t="s">
        <v>1272</v>
      </c>
      <c r="H373">
        <f t="shared" si="50"/>
        <v>31300000</v>
      </c>
      <c r="I373">
        <f t="shared" si="51"/>
        <v>132900</v>
      </c>
      <c r="J373">
        <f t="shared" si="52"/>
        <v>239600</v>
      </c>
      <c r="K373" s="2">
        <f t="shared" si="53"/>
        <v>4.246006389776358E-3</v>
      </c>
      <c r="L373" t="str">
        <f t="shared" si="54"/>
        <v>Tier 2</v>
      </c>
    </row>
    <row r="374" spans="1:12" x14ac:dyDescent="0.35">
      <c r="A374" s="1" t="s">
        <v>1273</v>
      </c>
      <c r="B374">
        <v>380</v>
      </c>
      <c r="C374" t="s">
        <v>8</v>
      </c>
      <c r="D374" t="s">
        <v>1153</v>
      </c>
      <c r="E374" t="s">
        <v>42</v>
      </c>
      <c r="F374" t="s">
        <v>1274</v>
      </c>
      <c r="G374" t="s">
        <v>1275</v>
      </c>
      <c r="H374">
        <f t="shared" si="50"/>
        <v>25000000</v>
      </c>
      <c r="I374">
        <f t="shared" si="51"/>
        <v>182800</v>
      </c>
      <c r="J374">
        <f t="shared" si="52"/>
        <v>297700</v>
      </c>
      <c r="K374" s="2">
        <f t="shared" si="53"/>
        <v>7.3119999999999999E-3</v>
      </c>
      <c r="L374" t="str">
        <f t="shared" si="54"/>
        <v>Tier 2</v>
      </c>
    </row>
    <row r="375" spans="1:12" x14ac:dyDescent="0.35">
      <c r="A375" s="1" t="s">
        <v>1276</v>
      </c>
      <c r="B375">
        <v>381</v>
      </c>
      <c r="C375" t="s">
        <v>1193</v>
      </c>
      <c r="D375" t="s">
        <v>192</v>
      </c>
      <c r="E375" t="s">
        <v>22</v>
      </c>
      <c r="F375" t="s">
        <v>1277</v>
      </c>
      <c r="G375" t="s">
        <v>1278</v>
      </c>
      <c r="H375">
        <f t="shared" si="50"/>
        <v>45800000</v>
      </c>
      <c r="I375">
        <f t="shared" si="51"/>
        <v>110900</v>
      </c>
      <c r="J375">
        <f t="shared" si="52"/>
        <v>162900</v>
      </c>
      <c r="K375" s="2">
        <f t="shared" si="53"/>
        <v>2.4213973799126639E-3</v>
      </c>
      <c r="L375" t="str">
        <f t="shared" si="54"/>
        <v>Tier 2</v>
      </c>
    </row>
    <row r="376" spans="1:12" x14ac:dyDescent="0.35">
      <c r="A376" s="1" t="s">
        <v>1279</v>
      </c>
      <c r="B376">
        <v>382</v>
      </c>
      <c r="C376" t="s">
        <v>1280</v>
      </c>
      <c r="D376" t="s">
        <v>875</v>
      </c>
      <c r="E376" t="s">
        <v>22</v>
      </c>
      <c r="F376" t="s">
        <v>1281</v>
      </c>
      <c r="G376" t="s">
        <v>1282</v>
      </c>
      <c r="H376">
        <f t="shared" si="50"/>
        <v>18700000</v>
      </c>
      <c r="I376">
        <f t="shared" si="51"/>
        <v>309100</v>
      </c>
      <c r="J376">
        <f t="shared" si="52"/>
        <v>395800</v>
      </c>
      <c r="K376" s="2">
        <f t="shared" si="53"/>
        <v>1.6529411764705883E-2</v>
      </c>
      <c r="L376" t="str">
        <f t="shared" si="54"/>
        <v>Tier 2</v>
      </c>
    </row>
    <row r="377" spans="1:12" x14ac:dyDescent="0.35">
      <c r="A377" s="1" t="s">
        <v>1283</v>
      </c>
      <c r="B377">
        <v>383</v>
      </c>
      <c r="C377" t="s">
        <v>26</v>
      </c>
      <c r="D377" t="s">
        <v>24</v>
      </c>
      <c r="E377" t="s">
        <v>58</v>
      </c>
      <c r="F377" t="s">
        <v>86</v>
      </c>
      <c r="G377" t="s">
        <v>135</v>
      </c>
      <c r="H377">
        <f t="shared" si="50"/>
        <v>4900000</v>
      </c>
      <c r="I377">
        <f t="shared" si="51"/>
        <v>1300000</v>
      </c>
      <c r="J377">
        <f t="shared" si="52"/>
        <v>1500000</v>
      </c>
      <c r="K377" s="2">
        <f t="shared" si="53"/>
        <v>0.26530612244897961</v>
      </c>
      <c r="L377" t="str">
        <f t="shared" si="54"/>
        <v>Tier 1</v>
      </c>
    </row>
    <row r="378" spans="1:12" x14ac:dyDescent="0.35">
      <c r="A378" s="1" t="s">
        <v>1284</v>
      </c>
      <c r="B378">
        <v>384</v>
      </c>
      <c r="C378" t="s">
        <v>1097</v>
      </c>
      <c r="D378" t="s">
        <v>236</v>
      </c>
      <c r="E378" t="s">
        <v>22</v>
      </c>
      <c r="F378" t="s">
        <v>1285</v>
      </c>
      <c r="G378" t="s">
        <v>1286</v>
      </c>
      <c r="H378">
        <f t="shared" si="50"/>
        <v>32900000</v>
      </c>
      <c r="I378">
        <f t="shared" si="51"/>
        <v>155500</v>
      </c>
      <c r="J378">
        <f t="shared" si="52"/>
        <v>222300</v>
      </c>
      <c r="K378" s="2">
        <f t="shared" si="53"/>
        <v>4.7264437689969602E-3</v>
      </c>
      <c r="L378" t="str">
        <f t="shared" si="54"/>
        <v>Tier 2</v>
      </c>
    </row>
    <row r="379" spans="1:12" x14ac:dyDescent="0.35">
      <c r="A379" s="1" t="s">
        <v>1287</v>
      </c>
      <c r="B379">
        <v>385</v>
      </c>
      <c r="C379" t="s">
        <v>26</v>
      </c>
      <c r="D379" t="s">
        <v>1288</v>
      </c>
      <c r="E379" t="s">
        <v>114</v>
      </c>
      <c r="F379" t="s">
        <v>1289</v>
      </c>
      <c r="G379" t="s">
        <v>1290</v>
      </c>
      <c r="H379">
        <f t="shared" si="50"/>
        <v>18100000</v>
      </c>
      <c r="I379">
        <f t="shared" si="51"/>
        <v>339400</v>
      </c>
      <c r="J379">
        <f t="shared" si="52"/>
        <v>402900</v>
      </c>
      <c r="K379" s="2">
        <f t="shared" si="53"/>
        <v>1.8751381215469612E-2</v>
      </c>
      <c r="L379" t="str">
        <f t="shared" si="54"/>
        <v>Tier 2</v>
      </c>
    </row>
    <row r="380" spans="1:12" x14ac:dyDescent="0.35">
      <c r="A380" s="1" t="s">
        <v>1291</v>
      </c>
      <c r="B380">
        <v>386</v>
      </c>
      <c r="C380" t="s">
        <v>26</v>
      </c>
      <c r="D380" t="s">
        <v>115</v>
      </c>
      <c r="E380" t="s">
        <v>58</v>
      </c>
      <c r="F380" t="s">
        <v>1292</v>
      </c>
      <c r="G380" t="s">
        <v>90</v>
      </c>
      <c r="H380">
        <f t="shared" si="50"/>
        <v>6900000</v>
      </c>
      <c r="I380">
        <f t="shared" si="51"/>
        <v>892200</v>
      </c>
      <c r="J380">
        <f t="shared" si="52"/>
        <v>1100000</v>
      </c>
      <c r="K380" s="2">
        <f t="shared" si="53"/>
        <v>0.12930434782608696</v>
      </c>
      <c r="L380" t="str">
        <f t="shared" si="54"/>
        <v>Tier 1</v>
      </c>
    </row>
    <row r="381" spans="1:12" x14ac:dyDescent="0.35">
      <c r="A381" s="1" t="s">
        <v>1293</v>
      </c>
      <c r="B381">
        <v>387</v>
      </c>
      <c r="C381" t="s">
        <v>26</v>
      </c>
      <c r="D381" t="s">
        <v>767</v>
      </c>
      <c r="E381" t="s">
        <v>58</v>
      </c>
      <c r="F381" t="s">
        <v>1294</v>
      </c>
      <c r="G381" t="s">
        <v>1295</v>
      </c>
      <c r="H381">
        <f t="shared" si="50"/>
        <v>10000000</v>
      </c>
      <c r="I381">
        <f t="shared" si="51"/>
        <v>579800</v>
      </c>
      <c r="J381">
        <f t="shared" si="52"/>
        <v>727900</v>
      </c>
      <c r="K381" s="2">
        <f t="shared" si="53"/>
        <v>5.7979999999999997E-2</v>
      </c>
      <c r="L381" t="str">
        <f t="shared" si="54"/>
        <v>Tier 2</v>
      </c>
    </row>
    <row r="382" spans="1:12" x14ac:dyDescent="0.35">
      <c r="A382" s="1" t="s">
        <v>1296</v>
      </c>
      <c r="B382">
        <v>388</v>
      </c>
      <c r="C382" t="s">
        <v>1097</v>
      </c>
      <c r="D382" t="s">
        <v>1297</v>
      </c>
      <c r="E382" t="s">
        <v>22</v>
      </c>
      <c r="F382" t="s">
        <v>1298</v>
      </c>
      <c r="G382" t="s">
        <v>1299</v>
      </c>
      <c r="H382">
        <f t="shared" ref="H382:H445" si="55">IF(RIGHT(D382,1)="M", VALUE(SUBSTITUTE(D382,"M",""))*1000000, VALUE(SUBSTITUTE(D382,"K",""))*1000)</f>
        <v>13900000</v>
      </c>
      <c r="I382">
        <f t="shared" ref="I382:I445" si="56">IF(RIGHT(F382,1)="M", VALUE(SUBSTITUTE(F382,"M",""))*1000000, VALUE(SUBSTITUTE(F382,"K",""))*1000)</f>
        <v>186200</v>
      </c>
      <c r="J382">
        <f t="shared" ref="J382:J445" si="57">IF(RIGHT(G382,1)="M", VALUE(SUBSTITUTE(G382,"M",""))*1000000, VALUE(SUBSTITUTE(G382,"K",""))*1000)</f>
        <v>524500</v>
      </c>
      <c r="K382" s="2">
        <f t="shared" ref="K382:K445" si="58">I382/H382</f>
        <v>1.339568345323741E-2</v>
      </c>
      <c r="L382" t="str">
        <f t="shared" ref="L382:L445" si="59">IF(H382&lt;10000000,"Tier 1",
 IF(H382&lt;50000000,"Tier 2",
 IF(H382&lt;100000000,"Tier 3",
 "Tier 4")))</f>
        <v>Tier 2</v>
      </c>
    </row>
    <row r="383" spans="1:12" x14ac:dyDescent="0.35">
      <c r="A383" s="1" t="s">
        <v>1300</v>
      </c>
      <c r="B383">
        <v>389</v>
      </c>
      <c r="D383" t="s">
        <v>60</v>
      </c>
      <c r="E383" t="s">
        <v>22</v>
      </c>
      <c r="F383" t="s">
        <v>1301</v>
      </c>
      <c r="G383" t="s">
        <v>1302</v>
      </c>
      <c r="H383">
        <f t="shared" si="55"/>
        <v>7300000</v>
      </c>
      <c r="I383">
        <f t="shared" si="56"/>
        <v>606200</v>
      </c>
      <c r="J383">
        <f t="shared" si="57"/>
        <v>998200</v>
      </c>
      <c r="K383" s="2">
        <f t="shared" si="58"/>
        <v>8.3041095890410963E-2</v>
      </c>
      <c r="L383" t="str">
        <f t="shared" si="59"/>
        <v>Tier 1</v>
      </c>
    </row>
    <row r="384" spans="1:12" x14ac:dyDescent="0.35">
      <c r="A384" s="1" t="s">
        <v>1303</v>
      </c>
      <c r="B384">
        <v>390</v>
      </c>
      <c r="C384" t="s">
        <v>8</v>
      </c>
      <c r="D384" t="s">
        <v>1101</v>
      </c>
      <c r="E384" t="s">
        <v>1102</v>
      </c>
      <c r="F384" t="s">
        <v>1304</v>
      </c>
      <c r="G384" t="s">
        <v>1305</v>
      </c>
      <c r="H384">
        <f t="shared" si="55"/>
        <v>11600000</v>
      </c>
      <c r="I384">
        <f t="shared" si="56"/>
        <v>435700</v>
      </c>
      <c r="J384">
        <f t="shared" si="57"/>
        <v>621800</v>
      </c>
      <c r="K384" s="2">
        <f t="shared" si="58"/>
        <v>3.756034482758621E-2</v>
      </c>
      <c r="L384" t="str">
        <f t="shared" si="59"/>
        <v>Tier 2</v>
      </c>
    </row>
    <row r="385" spans="1:12" x14ac:dyDescent="0.35">
      <c r="A385" s="1" t="s">
        <v>1306</v>
      </c>
      <c r="B385">
        <v>391</v>
      </c>
      <c r="C385" t="s">
        <v>920</v>
      </c>
      <c r="D385" t="s">
        <v>1307</v>
      </c>
      <c r="E385" t="s">
        <v>58</v>
      </c>
      <c r="F385" t="s">
        <v>1308</v>
      </c>
      <c r="G385" t="s">
        <v>1309</v>
      </c>
      <c r="H385">
        <f t="shared" si="55"/>
        <v>58200000</v>
      </c>
      <c r="I385">
        <f t="shared" si="56"/>
        <v>95700</v>
      </c>
      <c r="J385">
        <f t="shared" si="57"/>
        <v>123400</v>
      </c>
      <c r="K385" s="2">
        <f t="shared" si="58"/>
        <v>1.6443298969072164E-3</v>
      </c>
      <c r="L385" t="str">
        <f t="shared" si="59"/>
        <v>Tier 3</v>
      </c>
    </row>
    <row r="386" spans="1:12" x14ac:dyDescent="0.35">
      <c r="A386" s="1" t="s">
        <v>1310</v>
      </c>
      <c r="B386">
        <v>392</v>
      </c>
      <c r="C386" t="s">
        <v>76</v>
      </c>
      <c r="D386" t="s">
        <v>1311</v>
      </c>
      <c r="E386" t="s">
        <v>58</v>
      </c>
      <c r="F386" t="s">
        <v>90</v>
      </c>
      <c r="G386" t="s">
        <v>52</v>
      </c>
      <c r="H386">
        <f t="shared" si="55"/>
        <v>5100000</v>
      </c>
      <c r="I386">
        <f t="shared" si="56"/>
        <v>1100000</v>
      </c>
      <c r="J386">
        <f t="shared" si="57"/>
        <v>1400000</v>
      </c>
      <c r="K386" s="2">
        <f t="shared" si="58"/>
        <v>0.21568627450980393</v>
      </c>
      <c r="L386" t="str">
        <f t="shared" si="59"/>
        <v>Tier 1</v>
      </c>
    </row>
    <row r="387" spans="1:12" x14ac:dyDescent="0.35">
      <c r="A387" s="1" t="s">
        <v>1312</v>
      </c>
      <c r="B387">
        <v>393</v>
      </c>
      <c r="C387" t="s">
        <v>786</v>
      </c>
      <c r="D387" t="s">
        <v>128</v>
      </c>
      <c r="E387" t="s">
        <v>22</v>
      </c>
      <c r="F387" t="s">
        <v>1313</v>
      </c>
      <c r="G387" t="s">
        <v>1314</v>
      </c>
      <c r="H387">
        <f t="shared" si="55"/>
        <v>43000000</v>
      </c>
      <c r="I387">
        <f t="shared" si="56"/>
        <v>120000</v>
      </c>
      <c r="J387">
        <f t="shared" si="57"/>
        <v>166500</v>
      </c>
      <c r="K387" s="2">
        <f t="shared" si="58"/>
        <v>2.7906976744186047E-3</v>
      </c>
      <c r="L387" t="str">
        <f t="shared" si="59"/>
        <v>Tier 2</v>
      </c>
    </row>
    <row r="388" spans="1:12" x14ac:dyDescent="0.35">
      <c r="A388" s="1" t="s">
        <v>1315</v>
      </c>
      <c r="B388">
        <v>394</v>
      </c>
      <c r="D388" t="s">
        <v>1316</v>
      </c>
      <c r="E388" t="s">
        <v>22</v>
      </c>
      <c r="F388" t="s">
        <v>618</v>
      </c>
      <c r="G388" t="s">
        <v>1317</v>
      </c>
      <c r="H388">
        <f t="shared" si="55"/>
        <v>7900000</v>
      </c>
      <c r="I388">
        <f t="shared" si="56"/>
        <v>566200</v>
      </c>
      <c r="J388">
        <f t="shared" si="57"/>
        <v>913700</v>
      </c>
      <c r="K388" s="2">
        <f t="shared" si="58"/>
        <v>7.1670886075949361E-2</v>
      </c>
      <c r="L388" t="str">
        <f t="shared" si="59"/>
        <v>Tier 1</v>
      </c>
    </row>
    <row r="389" spans="1:12" x14ac:dyDescent="0.35">
      <c r="A389" s="1" t="s">
        <v>1318</v>
      </c>
      <c r="B389">
        <v>395</v>
      </c>
      <c r="C389" t="s">
        <v>69</v>
      </c>
      <c r="D389" t="s">
        <v>1319</v>
      </c>
      <c r="E389" t="s">
        <v>22</v>
      </c>
      <c r="F389" t="s">
        <v>1320</v>
      </c>
      <c r="G389" t="s">
        <v>1321</v>
      </c>
      <c r="H389">
        <f t="shared" si="55"/>
        <v>13200000</v>
      </c>
      <c r="I389">
        <f t="shared" si="56"/>
        <v>233700</v>
      </c>
      <c r="J389">
        <f t="shared" si="57"/>
        <v>542600</v>
      </c>
      <c r="K389" s="2">
        <f t="shared" si="58"/>
        <v>1.7704545454545455E-2</v>
      </c>
      <c r="L389" t="str">
        <f t="shared" si="59"/>
        <v>Tier 2</v>
      </c>
    </row>
    <row r="390" spans="1:12" x14ac:dyDescent="0.35">
      <c r="A390" s="1" t="s">
        <v>1322</v>
      </c>
      <c r="B390">
        <v>396</v>
      </c>
      <c r="C390" t="s">
        <v>920</v>
      </c>
      <c r="D390" t="s">
        <v>466</v>
      </c>
      <c r="E390" t="s">
        <v>22</v>
      </c>
      <c r="F390" t="s">
        <v>1323</v>
      </c>
      <c r="G390" t="s">
        <v>1324</v>
      </c>
      <c r="H390">
        <f t="shared" si="55"/>
        <v>16800000</v>
      </c>
      <c r="I390">
        <f t="shared" si="56"/>
        <v>272400</v>
      </c>
      <c r="J390">
        <f t="shared" si="57"/>
        <v>420300</v>
      </c>
      <c r="K390" s="2">
        <f t="shared" si="58"/>
        <v>1.6214285714285716E-2</v>
      </c>
      <c r="L390" t="str">
        <f t="shared" si="59"/>
        <v>Tier 2</v>
      </c>
    </row>
    <row r="391" spans="1:12" x14ac:dyDescent="0.35">
      <c r="A391" s="1" t="s">
        <v>1325</v>
      </c>
      <c r="B391">
        <v>397</v>
      </c>
      <c r="D391" t="s">
        <v>1326</v>
      </c>
      <c r="E391" t="s">
        <v>22</v>
      </c>
      <c r="F391" t="s">
        <v>1327</v>
      </c>
      <c r="G391" t="s">
        <v>47</v>
      </c>
      <c r="H391">
        <f t="shared" si="55"/>
        <v>6200000</v>
      </c>
      <c r="I391">
        <f t="shared" si="56"/>
        <v>891400</v>
      </c>
      <c r="J391">
        <f t="shared" si="57"/>
        <v>1200000</v>
      </c>
      <c r="K391" s="2">
        <f t="shared" si="58"/>
        <v>0.14377419354838711</v>
      </c>
      <c r="L391" t="str">
        <f t="shared" si="59"/>
        <v>Tier 1</v>
      </c>
    </row>
    <row r="392" spans="1:12" x14ac:dyDescent="0.35">
      <c r="A392" s="1" t="s">
        <v>1328</v>
      </c>
      <c r="B392">
        <v>398</v>
      </c>
      <c r="C392" t="s">
        <v>26</v>
      </c>
      <c r="D392" t="s">
        <v>847</v>
      </c>
      <c r="E392" t="s">
        <v>10</v>
      </c>
      <c r="F392" t="s">
        <v>1329</v>
      </c>
      <c r="G392" t="s">
        <v>1330</v>
      </c>
      <c r="H392">
        <f t="shared" si="55"/>
        <v>15300000</v>
      </c>
      <c r="I392">
        <f t="shared" si="56"/>
        <v>384900</v>
      </c>
      <c r="J392">
        <f t="shared" si="57"/>
        <v>465200</v>
      </c>
      <c r="K392" s="2">
        <f t="shared" si="58"/>
        <v>2.5156862745098041E-2</v>
      </c>
      <c r="L392" t="str">
        <f t="shared" si="59"/>
        <v>Tier 2</v>
      </c>
    </row>
    <row r="393" spans="1:12" x14ac:dyDescent="0.35">
      <c r="A393" s="1" t="s">
        <v>1331</v>
      </c>
      <c r="B393">
        <v>399</v>
      </c>
      <c r="C393" t="s">
        <v>20</v>
      </c>
      <c r="D393" t="s">
        <v>554</v>
      </c>
      <c r="E393" t="s">
        <v>42</v>
      </c>
      <c r="F393" t="s">
        <v>1332</v>
      </c>
      <c r="G393" t="s">
        <v>1333</v>
      </c>
      <c r="H393">
        <f t="shared" si="55"/>
        <v>20700000</v>
      </c>
      <c r="I393">
        <f t="shared" si="56"/>
        <v>160100</v>
      </c>
      <c r="J393">
        <f t="shared" si="57"/>
        <v>354700</v>
      </c>
      <c r="K393" s="2">
        <f t="shared" si="58"/>
        <v>7.7342995169082124E-3</v>
      </c>
      <c r="L393" t="str">
        <f t="shared" si="59"/>
        <v>Tier 2</v>
      </c>
    </row>
    <row r="394" spans="1:12" x14ac:dyDescent="0.35">
      <c r="A394" s="1" t="s">
        <v>1334</v>
      </c>
      <c r="B394">
        <v>400</v>
      </c>
      <c r="C394" t="s">
        <v>1335</v>
      </c>
      <c r="D394" t="s">
        <v>59</v>
      </c>
      <c r="E394" t="s">
        <v>22</v>
      </c>
      <c r="F394" t="s">
        <v>1336</v>
      </c>
      <c r="G394" t="s">
        <v>90</v>
      </c>
      <c r="H394">
        <f t="shared" si="55"/>
        <v>6300000</v>
      </c>
      <c r="I394">
        <f t="shared" si="56"/>
        <v>620000</v>
      </c>
      <c r="J394">
        <f t="shared" si="57"/>
        <v>1100000</v>
      </c>
      <c r="K394" s="2">
        <f t="shared" si="58"/>
        <v>9.841269841269841E-2</v>
      </c>
      <c r="L394" t="str">
        <f t="shared" si="59"/>
        <v>Tier 1</v>
      </c>
    </row>
    <row r="395" spans="1:12" x14ac:dyDescent="0.35">
      <c r="A395" s="1" t="s">
        <v>1337</v>
      </c>
      <c r="B395">
        <v>403</v>
      </c>
      <c r="C395" t="s">
        <v>69</v>
      </c>
      <c r="D395" t="s">
        <v>55</v>
      </c>
      <c r="E395" t="s">
        <v>58</v>
      </c>
      <c r="F395" t="s">
        <v>1338</v>
      </c>
      <c r="G395" t="s">
        <v>1339</v>
      </c>
      <c r="H395">
        <f t="shared" si="55"/>
        <v>13300000</v>
      </c>
      <c r="I395">
        <f t="shared" si="56"/>
        <v>411600</v>
      </c>
      <c r="J395">
        <f t="shared" si="57"/>
        <v>524400</v>
      </c>
      <c r="K395" s="2">
        <f t="shared" si="58"/>
        <v>3.0947368421052633E-2</v>
      </c>
      <c r="L395" t="str">
        <f t="shared" si="59"/>
        <v>Tier 2</v>
      </c>
    </row>
    <row r="396" spans="1:12" x14ac:dyDescent="0.35">
      <c r="A396" s="1" t="s">
        <v>1340</v>
      </c>
      <c r="B396">
        <v>405</v>
      </c>
      <c r="C396" t="s">
        <v>364</v>
      </c>
      <c r="D396" t="s">
        <v>752</v>
      </c>
      <c r="E396" t="s">
        <v>10</v>
      </c>
      <c r="F396" t="s">
        <v>1341</v>
      </c>
      <c r="G396" t="s">
        <v>1342</v>
      </c>
      <c r="H396">
        <f t="shared" si="55"/>
        <v>22100000</v>
      </c>
      <c r="I396">
        <f t="shared" si="56"/>
        <v>267500</v>
      </c>
      <c r="J396">
        <f t="shared" si="57"/>
        <v>314500</v>
      </c>
      <c r="K396" s="2">
        <f t="shared" si="58"/>
        <v>1.2104072398190046E-2</v>
      </c>
      <c r="L396" t="str">
        <f t="shared" si="59"/>
        <v>Tier 2</v>
      </c>
    </row>
    <row r="397" spans="1:12" x14ac:dyDescent="0.35">
      <c r="A397" s="1" t="s">
        <v>1343</v>
      </c>
      <c r="B397">
        <v>406</v>
      </c>
      <c r="C397" t="s">
        <v>153</v>
      </c>
      <c r="D397" t="s">
        <v>1101</v>
      </c>
      <c r="E397" t="s">
        <v>10</v>
      </c>
      <c r="F397" t="s">
        <v>1344</v>
      </c>
      <c r="G397" t="s">
        <v>1345</v>
      </c>
      <c r="H397">
        <f t="shared" si="55"/>
        <v>11600000</v>
      </c>
      <c r="I397">
        <f t="shared" si="56"/>
        <v>358100</v>
      </c>
      <c r="J397">
        <f t="shared" si="57"/>
        <v>602100</v>
      </c>
      <c r="K397" s="2">
        <f t="shared" si="58"/>
        <v>3.0870689655172413E-2</v>
      </c>
      <c r="L397" t="str">
        <f t="shared" si="59"/>
        <v>Tier 2</v>
      </c>
    </row>
    <row r="398" spans="1:12" x14ac:dyDescent="0.35">
      <c r="A398" s="1" t="s">
        <v>1346</v>
      </c>
      <c r="B398">
        <v>407</v>
      </c>
      <c r="C398" t="s">
        <v>26</v>
      </c>
      <c r="D398" t="s">
        <v>1347</v>
      </c>
      <c r="E398" t="s">
        <v>42</v>
      </c>
      <c r="F398" t="s">
        <v>1348</v>
      </c>
      <c r="G398" t="s">
        <v>1349</v>
      </c>
      <c r="H398">
        <f t="shared" si="55"/>
        <v>34800000</v>
      </c>
      <c r="I398">
        <f t="shared" si="56"/>
        <v>157900</v>
      </c>
      <c r="J398">
        <f t="shared" si="57"/>
        <v>200000</v>
      </c>
      <c r="K398" s="2">
        <f t="shared" si="58"/>
        <v>4.5373563218390808E-3</v>
      </c>
      <c r="L398" t="str">
        <f t="shared" si="59"/>
        <v>Tier 2</v>
      </c>
    </row>
    <row r="399" spans="1:12" x14ac:dyDescent="0.35">
      <c r="A399" s="1" t="s">
        <v>1350</v>
      </c>
      <c r="B399">
        <v>408</v>
      </c>
      <c r="C399" t="s">
        <v>1351</v>
      </c>
      <c r="D399" t="s">
        <v>80</v>
      </c>
      <c r="E399" t="s">
        <v>10</v>
      </c>
      <c r="F399" t="s">
        <v>1134</v>
      </c>
      <c r="G399" t="s">
        <v>1352</v>
      </c>
      <c r="H399">
        <f t="shared" si="55"/>
        <v>37400000</v>
      </c>
      <c r="I399">
        <f t="shared" si="56"/>
        <v>163600</v>
      </c>
      <c r="J399">
        <f t="shared" si="57"/>
        <v>183000</v>
      </c>
      <c r="K399" s="2">
        <f t="shared" si="58"/>
        <v>4.3743315508021387E-3</v>
      </c>
      <c r="L399" t="str">
        <f t="shared" si="59"/>
        <v>Tier 2</v>
      </c>
    </row>
    <row r="400" spans="1:12" x14ac:dyDescent="0.35">
      <c r="A400" s="1" t="s">
        <v>1353</v>
      </c>
      <c r="B400">
        <v>409</v>
      </c>
      <c r="C400" t="s">
        <v>8</v>
      </c>
      <c r="D400" t="s">
        <v>770</v>
      </c>
      <c r="E400" t="s">
        <v>16</v>
      </c>
      <c r="F400" t="s">
        <v>1161</v>
      </c>
      <c r="G400" t="s">
        <v>1354</v>
      </c>
      <c r="H400">
        <f t="shared" si="55"/>
        <v>17900000</v>
      </c>
      <c r="I400">
        <f t="shared" si="56"/>
        <v>259600.00000000003</v>
      </c>
      <c r="J400">
        <f t="shared" si="57"/>
        <v>381900</v>
      </c>
      <c r="K400" s="2">
        <f t="shared" si="58"/>
        <v>1.4502793296089387E-2</v>
      </c>
      <c r="L400" t="str">
        <f t="shared" si="59"/>
        <v>Tier 2</v>
      </c>
    </row>
    <row r="401" spans="1:12" x14ac:dyDescent="0.35">
      <c r="A401" s="1" t="s">
        <v>1355</v>
      </c>
      <c r="B401">
        <v>410</v>
      </c>
      <c r="C401" t="s">
        <v>69</v>
      </c>
      <c r="D401" t="s">
        <v>1356</v>
      </c>
      <c r="E401" t="s">
        <v>42</v>
      </c>
      <c r="F401" t="s">
        <v>1357</v>
      </c>
      <c r="G401" t="s">
        <v>1358</v>
      </c>
      <c r="H401">
        <f t="shared" si="55"/>
        <v>33700000</v>
      </c>
      <c r="I401">
        <f t="shared" si="56"/>
        <v>130600</v>
      </c>
      <c r="J401">
        <f t="shared" si="57"/>
        <v>207700</v>
      </c>
      <c r="K401" s="2">
        <f t="shared" si="58"/>
        <v>3.8753709198813056E-3</v>
      </c>
      <c r="L401" t="str">
        <f t="shared" si="59"/>
        <v>Tier 2</v>
      </c>
    </row>
    <row r="402" spans="1:12" x14ac:dyDescent="0.35">
      <c r="A402" s="1" t="s">
        <v>1359</v>
      </c>
      <c r="B402">
        <v>411</v>
      </c>
      <c r="C402" t="s">
        <v>834</v>
      </c>
      <c r="D402" t="s">
        <v>34</v>
      </c>
      <c r="E402" t="s">
        <v>58</v>
      </c>
      <c r="F402" t="s">
        <v>1360</v>
      </c>
      <c r="G402" t="s">
        <v>47</v>
      </c>
      <c r="H402">
        <f t="shared" si="55"/>
        <v>5800000</v>
      </c>
      <c r="I402">
        <f t="shared" si="56"/>
        <v>990900</v>
      </c>
      <c r="J402">
        <f t="shared" si="57"/>
        <v>1200000</v>
      </c>
      <c r="K402" s="2">
        <f t="shared" si="58"/>
        <v>0.17084482758620689</v>
      </c>
      <c r="L402" t="str">
        <f t="shared" si="59"/>
        <v>Tier 1</v>
      </c>
    </row>
    <row r="403" spans="1:12" x14ac:dyDescent="0.35">
      <c r="A403" s="1" t="s">
        <v>1361</v>
      </c>
      <c r="B403">
        <v>412</v>
      </c>
      <c r="C403" t="s">
        <v>8</v>
      </c>
      <c r="D403" t="s">
        <v>1362</v>
      </c>
      <c r="E403" t="s">
        <v>22</v>
      </c>
      <c r="F403" t="s">
        <v>1363</v>
      </c>
      <c r="G403" t="s">
        <v>1364</v>
      </c>
      <c r="H403">
        <f t="shared" si="55"/>
        <v>16200000</v>
      </c>
      <c r="I403">
        <f t="shared" si="56"/>
        <v>219000</v>
      </c>
      <c r="J403">
        <f t="shared" si="57"/>
        <v>416000</v>
      </c>
      <c r="K403" s="2">
        <f t="shared" si="58"/>
        <v>1.3518518518518518E-2</v>
      </c>
      <c r="L403" t="str">
        <f t="shared" si="59"/>
        <v>Tier 2</v>
      </c>
    </row>
    <row r="404" spans="1:12" x14ac:dyDescent="0.35">
      <c r="A404" s="1" t="s">
        <v>1365</v>
      </c>
      <c r="B404">
        <v>413</v>
      </c>
      <c r="C404" t="s">
        <v>180</v>
      </c>
      <c r="D404" t="s">
        <v>1101</v>
      </c>
      <c r="E404" t="s">
        <v>195</v>
      </c>
      <c r="F404" t="s">
        <v>1366</v>
      </c>
      <c r="G404" t="s">
        <v>1367</v>
      </c>
      <c r="H404">
        <f t="shared" si="55"/>
        <v>11600000</v>
      </c>
      <c r="I404">
        <f t="shared" si="56"/>
        <v>421300</v>
      </c>
      <c r="J404">
        <f t="shared" si="57"/>
        <v>583100</v>
      </c>
      <c r="K404" s="2">
        <f t="shared" si="58"/>
        <v>3.6318965517241376E-2</v>
      </c>
      <c r="L404" t="str">
        <f t="shared" si="59"/>
        <v>Tier 2</v>
      </c>
    </row>
    <row r="405" spans="1:12" x14ac:dyDescent="0.35">
      <c r="A405" s="1" t="s">
        <v>1368</v>
      </c>
      <c r="B405">
        <v>414</v>
      </c>
      <c r="C405" t="s">
        <v>76</v>
      </c>
      <c r="D405" t="s">
        <v>649</v>
      </c>
      <c r="E405" t="s">
        <v>58</v>
      </c>
      <c r="F405" t="s">
        <v>1369</v>
      </c>
      <c r="G405" t="s">
        <v>1370</v>
      </c>
      <c r="H405">
        <f t="shared" si="55"/>
        <v>10700000</v>
      </c>
      <c r="I405">
        <f t="shared" si="56"/>
        <v>506000</v>
      </c>
      <c r="J405">
        <f t="shared" si="57"/>
        <v>627300</v>
      </c>
      <c r="K405" s="2">
        <f t="shared" si="58"/>
        <v>4.7289719626168222E-2</v>
      </c>
      <c r="L405" t="str">
        <f t="shared" si="59"/>
        <v>Tier 2</v>
      </c>
    </row>
    <row r="406" spans="1:12" x14ac:dyDescent="0.35">
      <c r="A406" s="1" t="s">
        <v>1371</v>
      </c>
      <c r="B406">
        <v>415</v>
      </c>
      <c r="C406" t="s">
        <v>69</v>
      </c>
      <c r="D406" t="s">
        <v>847</v>
      </c>
      <c r="E406" t="s">
        <v>10</v>
      </c>
      <c r="F406" t="s">
        <v>1372</v>
      </c>
      <c r="G406" t="s">
        <v>1373</v>
      </c>
      <c r="H406">
        <f t="shared" si="55"/>
        <v>15300000</v>
      </c>
      <c r="I406">
        <f t="shared" si="56"/>
        <v>344400</v>
      </c>
      <c r="J406">
        <f t="shared" si="57"/>
        <v>439500</v>
      </c>
      <c r="K406" s="2">
        <f t="shared" si="58"/>
        <v>2.2509803921568629E-2</v>
      </c>
      <c r="L406" t="str">
        <f t="shared" si="59"/>
        <v>Tier 2</v>
      </c>
    </row>
    <row r="407" spans="1:12" x14ac:dyDescent="0.35">
      <c r="A407" s="1" t="s">
        <v>1374</v>
      </c>
      <c r="B407">
        <v>416</v>
      </c>
      <c r="C407" t="s">
        <v>69</v>
      </c>
      <c r="D407" t="s">
        <v>284</v>
      </c>
      <c r="E407" t="s">
        <v>265</v>
      </c>
      <c r="F407" t="s">
        <v>1375</v>
      </c>
      <c r="G407" t="s">
        <v>1376</v>
      </c>
      <c r="H407">
        <f t="shared" si="55"/>
        <v>21600000</v>
      </c>
      <c r="I407">
        <f t="shared" si="56"/>
        <v>255600</v>
      </c>
      <c r="J407">
        <f t="shared" si="57"/>
        <v>309600</v>
      </c>
      <c r="K407" s="2">
        <f t="shared" si="58"/>
        <v>1.1833333333333333E-2</v>
      </c>
      <c r="L407" t="str">
        <f t="shared" si="59"/>
        <v>Tier 2</v>
      </c>
    </row>
    <row r="408" spans="1:12" x14ac:dyDescent="0.35">
      <c r="A408" s="1" t="s">
        <v>1377</v>
      </c>
      <c r="B408">
        <v>417</v>
      </c>
      <c r="C408" t="s">
        <v>26</v>
      </c>
      <c r="D408" t="s">
        <v>863</v>
      </c>
      <c r="E408" t="s">
        <v>10</v>
      </c>
      <c r="F408" t="s">
        <v>1378</v>
      </c>
      <c r="G408" t="s">
        <v>1379</v>
      </c>
      <c r="H408">
        <f t="shared" si="55"/>
        <v>32799999.999999996</v>
      </c>
      <c r="I408">
        <f t="shared" si="56"/>
        <v>163900</v>
      </c>
      <c r="J408">
        <f t="shared" si="57"/>
        <v>201600</v>
      </c>
      <c r="K408" s="2">
        <f t="shared" si="58"/>
        <v>4.9969512195121961E-3</v>
      </c>
      <c r="L408" t="str">
        <f t="shared" si="59"/>
        <v>Tier 2</v>
      </c>
    </row>
    <row r="409" spans="1:12" x14ac:dyDescent="0.35">
      <c r="A409" s="1" t="s">
        <v>1380</v>
      </c>
      <c r="B409">
        <v>418</v>
      </c>
      <c r="C409" t="s">
        <v>76</v>
      </c>
      <c r="D409" t="s">
        <v>1013</v>
      </c>
      <c r="E409" t="s">
        <v>58</v>
      </c>
      <c r="F409" t="s">
        <v>1381</v>
      </c>
      <c r="G409" t="s">
        <v>434</v>
      </c>
      <c r="H409">
        <f t="shared" si="55"/>
        <v>6500000</v>
      </c>
      <c r="I409">
        <f t="shared" si="56"/>
        <v>791200</v>
      </c>
      <c r="J409">
        <f t="shared" si="57"/>
        <v>1000000</v>
      </c>
      <c r="K409" s="2">
        <f t="shared" si="58"/>
        <v>0.12172307692307692</v>
      </c>
      <c r="L409" t="str">
        <f t="shared" si="59"/>
        <v>Tier 1</v>
      </c>
    </row>
    <row r="410" spans="1:12" x14ac:dyDescent="0.35">
      <c r="A410" s="1" t="s">
        <v>1382</v>
      </c>
      <c r="B410">
        <v>419</v>
      </c>
      <c r="C410" t="s">
        <v>26</v>
      </c>
      <c r="D410" t="s">
        <v>1383</v>
      </c>
      <c r="E410" t="s">
        <v>58</v>
      </c>
      <c r="F410" t="s">
        <v>1384</v>
      </c>
      <c r="G410" t="s">
        <v>90</v>
      </c>
      <c r="H410">
        <f t="shared" si="55"/>
        <v>6400000</v>
      </c>
      <c r="I410">
        <f t="shared" si="56"/>
        <v>833100</v>
      </c>
      <c r="J410">
        <f t="shared" si="57"/>
        <v>1100000</v>
      </c>
      <c r="K410" s="2">
        <f t="shared" si="58"/>
        <v>0.13017187499999999</v>
      </c>
      <c r="L410" t="str">
        <f t="shared" si="59"/>
        <v>Tier 1</v>
      </c>
    </row>
    <row r="411" spans="1:12" x14ac:dyDescent="0.35">
      <c r="A411" s="1" t="s">
        <v>1385</v>
      </c>
      <c r="B411">
        <v>420</v>
      </c>
      <c r="C411" t="s">
        <v>69</v>
      </c>
      <c r="D411" t="s">
        <v>832</v>
      </c>
      <c r="E411" t="s">
        <v>58</v>
      </c>
      <c r="F411" t="s">
        <v>1386</v>
      </c>
      <c r="G411" t="s">
        <v>1387</v>
      </c>
      <c r="H411">
        <f t="shared" si="55"/>
        <v>10200000</v>
      </c>
      <c r="I411">
        <f t="shared" si="56"/>
        <v>519299.99999999994</v>
      </c>
      <c r="J411">
        <f t="shared" si="57"/>
        <v>647000</v>
      </c>
      <c r="K411" s="2">
        <f t="shared" si="58"/>
        <v>5.0911764705882344E-2</v>
      </c>
      <c r="L411" t="str">
        <f t="shared" si="59"/>
        <v>Tier 2</v>
      </c>
    </row>
    <row r="412" spans="1:12" x14ac:dyDescent="0.35">
      <c r="A412" s="1" t="s">
        <v>1388</v>
      </c>
      <c r="B412">
        <v>421</v>
      </c>
      <c r="C412" t="s">
        <v>313</v>
      </c>
      <c r="D412" t="s">
        <v>1389</v>
      </c>
      <c r="E412" t="s">
        <v>22</v>
      </c>
      <c r="F412" t="s">
        <v>1390</v>
      </c>
      <c r="G412" t="s">
        <v>1391</v>
      </c>
      <c r="H412">
        <f t="shared" si="55"/>
        <v>19600000</v>
      </c>
      <c r="I412">
        <f t="shared" si="56"/>
        <v>202500</v>
      </c>
      <c r="J412">
        <f t="shared" si="57"/>
        <v>334200</v>
      </c>
      <c r="K412" s="2">
        <f t="shared" si="58"/>
        <v>1.0331632653061225E-2</v>
      </c>
      <c r="L412" t="str">
        <f t="shared" si="59"/>
        <v>Tier 2</v>
      </c>
    </row>
    <row r="413" spans="1:12" x14ac:dyDescent="0.35">
      <c r="A413" s="1" t="s">
        <v>1392</v>
      </c>
      <c r="B413">
        <v>422</v>
      </c>
      <c r="C413" t="s">
        <v>76</v>
      </c>
      <c r="D413" t="s">
        <v>1316</v>
      </c>
      <c r="E413" t="s">
        <v>42</v>
      </c>
      <c r="F413" t="s">
        <v>884</v>
      </c>
      <c r="G413" t="s">
        <v>1393</v>
      </c>
      <c r="H413">
        <f t="shared" si="55"/>
        <v>7900000</v>
      </c>
      <c r="I413">
        <f t="shared" si="56"/>
        <v>753300</v>
      </c>
      <c r="J413">
        <f t="shared" si="57"/>
        <v>825800</v>
      </c>
      <c r="K413" s="2">
        <f t="shared" si="58"/>
        <v>9.5354430379746835E-2</v>
      </c>
      <c r="L413" t="str">
        <f t="shared" si="59"/>
        <v>Tier 1</v>
      </c>
    </row>
    <row r="414" spans="1:12" x14ac:dyDescent="0.35">
      <c r="A414" s="1" t="s">
        <v>1394</v>
      </c>
      <c r="B414">
        <v>423</v>
      </c>
      <c r="C414" t="s">
        <v>1395</v>
      </c>
      <c r="D414" t="s">
        <v>1319</v>
      </c>
      <c r="E414" t="s">
        <v>265</v>
      </c>
      <c r="F414" t="s">
        <v>1396</v>
      </c>
      <c r="G414" t="s">
        <v>1397</v>
      </c>
      <c r="H414">
        <f t="shared" si="55"/>
        <v>13200000</v>
      </c>
      <c r="I414">
        <f t="shared" si="56"/>
        <v>389600</v>
      </c>
      <c r="J414">
        <f t="shared" si="57"/>
        <v>491500</v>
      </c>
      <c r="K414" s="2">
        <f t="shared" si="58"/>
        <v>2.9515151515151515E-2</v>
      </c>
      <c r="L414" t="str">
        <f t="shared" si="59"/>
        <v>Tier 2</v>
      </c>
    </row>
    <row r="415" spans="1:12" x14ac:dyDescent="0.35">
      <c r="A415" s="1" t="s">
        <v>1398</v>
      </c>
      <c r="B415">
        <v>424</v>
      </c>
      <c r="C415" t="s">
        <v>305</v>
      </c>
      <c r="D415" t="s">
        <v>651</v>
      </c>
      <c r="E415" t="s">
        <v>265</v>
      </c>
      <c r="F415" t="s">
        <v>1399</v>
      </c>
      <c r="G415" t="s">
        <v>1400</v>
      </c>
      <c r="H415">
        <f t="shared" si="55"/>
        <v>10300000</v>
      </c>
      <c r="I415">
        <f t="shared" si="56"/>
        <v>447900</v>
      </c>
      <c r="J415">
        <f t="shared" si="57"/>
        <v>626100</v>
      </c>
      <c r="K415" s="2">
        <f t="shared" si="58"/>
        <v>4.3485436893203881E-2</v>
      </c>
      <c r="L415" t="str">
        <f t="shared" si="59"/>
        <v>Tier 2</v>
      </c>
    </row>
    <row r="416" spans="1:12" x14ac:dyDescent="0.35">
      <c r="A416" s="1" t="s">
        <v>1401</v>
      </c>
      <c r="B416">
        <v>425</v>
      </c>
      <c r="C416" t="s">
        <v>69</v>
      </c>
      <c r="D416" t="s">
        <v>115</v>
      </c>
      <c r="E416" t="s">
        <v>58</v>
      </c>
      <c r="F416" t="s">
        <v>1402</v>
      </c>
      <c r="G416" t="s">
        <v>1403</v>
      </c>
      <c r="H416">
        <f t="shared" si="55"/>
        <v>6900000</v>
      </c>
      <c r="I416">
        <f t="shared" si="56"/>
        <v>719200</v>
      </c>
      <c r="J416">
        <f t="shared" si="57"/>
        <v>935800</v>
      </c>
      <c r="K416" s="2">
        <f t="shared" si="58"/>
        <v>0.10423188405797101</v>
      </c>
      <c r="L416" t="str">
        <f t="shared" si="59"/>
        <v>Tier 1</v>
      </c>
    </row>
    <row r="417" spans="1:12" x14ac:dyDescent="0.35">
      <c r="A417" s="1" t="s">
        <v>1404</v>
      </c>
      <c r="B417">
        <v>426</v>
      </c>
      <c r="C417" t="s">
        <v>76</v>
      </c>
      <c r="D417" t="s">
        <v>945</v>
      </c>
      <c r="E417" t="s">
        <v>58</v>
      </c>
      <c r="F417" t="s">
        <v>1405</v>
      </c>
      <c r="G417" t="s">
        <v>1406</v>
      </c>
      <c r="H417">
        <f t="shared" si="55"/>
        <v>8199999.9999999991</v>
      </c>
      <c r="I417">
        <f t="shared" si="56"/>
        <v>685500</v>
      </c>
      <c r="J417">
        <f t="shared" si="57"/>
        <v>779500</v>
      </c>
      <c r="K417" s="2">
        <f t="shared" si="58"/>
        <v>8.3597560975609761E-2</v>
      </c>
      <c r="L417" t="str">
        <f t="shared" si="59"/>
        <v>Tier 1</v>
      </c>
    </row>
    <row r="418" spans="1:12" x14ac:dyDescent="0.35">
      <c r="A418" s="1" t="s">
        <v>1407</v>
      </c>
      <c r="B418">
        <v>427</v>
      </c>
      <c r="C418" t="s">
        <v>8</v>
      </c>
      <c r="D418" t="s">
        <v>649</v>
      </c>
      <c r="E418" t="s">
        <v>279</v>
      </c>
      <c r="F418" t="s">
        <v>1408</v>
      </c>
      <c r="G418" t="s">
        <v>1409</v>
      </c>
      <c r="H418">
        <f t="shared" si="55"/>
        <v>10700000</v>
      </c>
      <c r="I418">
        <f t="shared" si="56"/>
        <v>406400</v>
      </c>
      <c r="J418">
        <f t="shared" si="57"/>
        <v>589800</v>
      </c>
      <c r="K418" s="2">
        <f t="shared" si="58"/>
        <v>3.7981308411214956E-2</v>
      </c>
      <c r="L418" t="str">
        <f t="shared" si="59"/>
        <v>Tier 2</v>
      </c>
    </row>
    <row r="419" spans="1:12" x14ac:dyDescent="0.35">
      <c r="A419" s="1" t="s">
        <v>1410</v>
      </c>
      <c r="B419">
        <v>428</v>
      </c>
      <c r="C419" t="s">
        <v>76</v>
      </c>
      <c r="D419" t="s">
        <v>1411</v>
      </c>
      <c r="E419" t="s">
        <v>58</v>
      </c>
      <c r="F419" t="s">
        <v>1412</v>
      </c>
      <c r="G419" t="s">
        <v>1413</v>
      </c>
      <c r="H419">
        <f t="shared" si="55"/>
        <v>6700000</v>
      </c>
      <c r="I419">
        <f t="shared" si="56"/>
        <v>758300</v>
      </c>
      <c r="J419">
        <f t="shared" si="57"/>
        <v>947100</v>
      </c>
      <c r="K419" s="2">
        <f t="shared" si="58"/>
        <v>0.11317910447761194</v>
      </c>
      <c r="L419" t="str">
        <f t="shared" si="59"/>
        <v>Tier 1</v>
      </c>
    </row>
    <row r="420" spans="1:12" x14ac:dyDescent="0.35">
      <c r="A420" s="1" t="s">
        <v>1414</v>
      </c>
      <c r="B420">
        <v>429</v>
      </c>
      <c r="C420" t="s">
        <v>1415</v>
      </c>
      <c r="D420" t="s">
        <v>690</v>
      </c>
      <c r="E420" t="s">
        <v>10</v>
      </c>
      <c r="F420" t="s">
        <v>1416</v>
      </c>
      <c r="G420" t="s">
        <v>1417</v>
      </c>
      <c r="H420">
        <f t="shared" si="55"/>
        <v>33100000</v>
      </c>
      <c r="I420">
        <f t="shared" si="56"/>
        <v>159500</v>
      </c>
      <c r="J420">
        <f t="shared" si="57"/>
        <v>189300</v>
      </c>
      <c r="K420" s="2">
        <f t="shared" si="58"/>
        <v>4.8187311178247731E-3</v>
      </c>
      <c r="L420" t="str">
        <f t="shared" si="59"/>
        <v>Tier 2</v>
      </c>
    </row>
    <row r="421" spans="1:12" x14ac:dyDescent="0.35">
      <c r="A421" s="1" t="s">
        <v>1418</v>
      </c>
      <c r="B421">
        <v>430</v>
      </c>
      <c r="C421" t="s">
        <v>310</v>
      </c>
      <c r="D421" t="s">
        <v>148</v>
      </c>
      <c r="E421" t="s">
        <v>58</v>
      </c>
      <c r="F421" t="s">
        <v>1419</v>
      </c>
      <c r="G421" t="s">
        <v>47</v>
      </c>
      <c r="H421">
        <f t="shared" si="55"/>
        <v>5400000</v>
      </c>
      <c r="I421">
        <f t="shared" si="56"/>
        <v>907200</v>
      </c>
      <c r="J421">
        <f t="shared" si="57"/>
        <v>1200000</v>
      </c>
      <c r="K421" s="2">
        <f t="shared" si="58"/>
        <v>0.16800000000000001</v>
      </c>
      <c r="L421" t="str">
        <f t="shared" si="59"/>
        <v>Tier 1</v>
      </c>
    </row>
    <row r="422" spans="1:12" x14ac:dyDescent="0.35">
      <c r="A422" s="1" t="s">
        <v>1420</v>
      </c>
      <c r="B422">
        <v>431</v>
      </c>
      <c r="C422" t="s">
        <v>8</v>
      </c>
      <c r="D422" t="s">
        <v>642</v>
      </c>
      <c r="E422" t="s">
        <v>279</v>
      </c>
      <c r="F422" t="s">
        <v>1098</v>
      </c>
      <c r="G422" t="s">
        <v>1421</v>
      </c>
      <c r="H422">
        <f t="shared" si="55"/>
        <v>19100000</v>
      </c>
      <c r="I422">
        <f t="shared" si="56"/>
        <v>217300</v>
      </c>
      <c r="J422">
        <f t="shared" si="57"/>
        <v>326900</v>
      </c>
      <c r="K422" s="2">
        <f t="shared" si="58"/>
        <v>1.137696335078534E-2</v>
      </c>
      <c r="L422" t="str">
        <f t="shared" si="59"/>
        <v>Tier 2</v>
      </c>
    </row>
    <row r="423" spans="1:12" x14ac:dyDescent="0.35">
      <c r="A423" s="1" t="s">
        <v>1422</v>
      </c>
      <c r="B423">
        <v>432</v>
      </c>
      <c r="C423" t="s">
        <v>1423</v>
      </c>
      <c r="D423" t="s">
        <v>576</v>
      </c>
      <c r="E423" t="s">
        <v>195</v>
      </c>
      <c r="F423" t="s">
        <v>1424</v>
      </c>
      <c r="G423" t="s">
        <v>1425</v>
      </c>
      <c r="H423">
        <f t="shared" si="55"/>
        <v>14100000</v>
      </c>
      <c r="I423">
        <f t="shared" si="56"/>
        <v>300300</v>
      </c>
      <c r="J423">
        <f t="shared" si="57"/>
        <v>441000</v>
      </c>
      <c r="K423" s="2">
        <f t="shared" si="58"/>
        <v>2.129787234042553E-2</v>
      </c>
      <c r="L423" t="str">
        <f t="shared" si="59"/>
        <v>Tier 2</v>
      </c>
    </row>
    <row r="424" spans="1:12" x14ac:dyDescent="0.35">
      <c r="A424" s="1" t="s">
        <v>1426</v>
      </c>
      <c r="B424">
        <v>433</v>
      </c>
      <c r="C424" t="s">
        <v>214</v>
      </c>
      <c r="D424" t="s">
        <v>1101</v>
      </c>
      <c r="E424" t="s">
        <v>10</v>
      </c>
      <c r="F424" t="s">
        <v>1427</v>
      </c>
      <c r="G424" t="s">
        <v>1428</v>
      </c>
      <c r="H424">
        <f t="shared" si="55"/>
        <v>11600000</v>
      </c>
      <c r="I424">
        <f t="shared" si="56"/>
        <v>463700</v>
      </c>
      <c r="J424">
        <f t="shared" si="57"/>
        <v>586700</v>
      </c>
      <c r="K424" s="2">
        <f t="shared" si="58"/>
        <v>3.9974137931034485E-2</v>
      </c>
      <c r="L424" t="str">
        <f t="shared" si="59"/>
        <v>Tier 2</v>
      </c>
    </row>
    <row r="425" spans="1:12" x14ac:dyDescent="0.35">
      <c r="A425" s="1" t="s">
        <v>1429</v>
      </c>
      <c r="B425">
        <v>434</v>
      </c>
      <c r="C425" t="s">
        <v>26</v>
      </c>
      <c r="D425" t="s">
        <v>1430</v>
      </c>
      <c r="E425" t="s">
        <v>22</v>
      </c>
      <c r="F425" t="s">
        <v>1431</v>
      </c>
      <c r="G425" t="s">
        <v>691</v>
      </c>
      <c r="H425">
        <f t="shared" si="55"/>
        <v>16399999.999999998</v>
      </c>
      <c r="I425">
        <f t="shared" si="56"/>
        <v>234900</v>
      </c>
      <c r="J425">
        <f t="shared" si="57"/>
        <v>379800</v>
      </c>
      <c r="K425" s="2">
        <f t="shared" si="58"/>
        <v>1.4323170731707319E-2</v>
      </c>
      <c r="L425" t="str">
        <f t="shared" si="59"/>
        <v>Tier 2</v>
      </c>
    </row>
    <row r="426" spans="1:12" x14ac:dyDescent="0.35">
      <c r="A426" s="1" t="s">
        <v>1432</v>
      </c>
      <c r="B426">
        <v>435</v>
      </c>
      <c r="C426" t="s">
        <v>69</v>
      </c>
      <c r="D426" t="s">
        <v>1433</v>
      </c>
      <c r="E426" t="s">
        <v>22</v>
      </c>
      <c r="F426" t="s">
        <v>1434</v>
      </c>
      <c r="G426" t="s">
        <v>1435</v>
      </c>
      <c r="H426">
        <f t="shared" si="55"/>
        <v>46400000</v>
      </c>
      <c r="I426">
        <f t="shared" si="56"/>
        <v>82000</v>
      </c>
      <c r="J426">
        <f t="shared" si="57"/>
        <v>133600</v>
      </c>
      <c r="K426" s="2">
        <f t="shared" si="58"/>
        <v>1.7672413793103448E-3</v>
      </c>
      <c r="L426" t="str">
        <f t="shared" si="59"/>
        <v>Tier 2</v>
      </c>
    </row>
    <row r="427" spans="1:12" x14ac:dyDescent="0.35">
      <c r="A427" s="1" t="s">
        <v>1436</v>
      </c>
      <c r="B427">
        <v>436</v>
      </c>
      <c r="C427" t="s">
        <v>26</v>
      </c>
      <c r="D427" t="s">
        <v>588</v>
      </c>
      <c r="E427" t="s">
        <v>16</v>
      </c>
      <c r="F427" t="s">
        <v>1437</v>
      </c>
      <c r="G427" t="s">
        <v>1438</v>
      </c>
      <c r="H427">
        <f t="shared" si="55"/>
        <v>9800000</v>
      </c>
      <c r="I427">
        <f t="shared" si="56"/>
        <v>271800</v>
      </c>
      <c r="J427">
        <f t="shared" si="57"/>
        <v>641300</v>
      </c>
      <c r="K427" s="2">
        <f t="shared" si="58"/>
        <v>2.7734693877551019E-2</v>
      </c>
      <c r="L427" t="str">
        <f t="shared" si="59"/>
        <v>Tier 1</v>
      </c>
    </row>
    <row r="428" spans="1:12" x14ac:dyDescent="0.35">
      <c r="A428" s="1" t="s">
        <v>1439</v>
      </c>
      <c r="B428">
        <v>437</v>
      </c>
      <c r="C428" t="s">
        <v>305</v>
      </c>
      <c r="D428" t="s">
        <v>945</v>
      </c>
      <c r="E428" t="s">
        <v>22</v>
      </c>
      <c r="F428" t="s">
        <v>1440</v>
      </c>
      <c r="G428" t="s">
        <v>1441</v>
      </c>
      <c r="H428">
        <f t="shared" si="55"/>
        <v>8199999.9999999991</v>
      </c>
      <c r="I428">
        <f t="shared" si="56"/>
        <v>538900</v>
      </c>
      <c r="J428">
        <f t="shared" si="57"/>
        <v>767800</v>
      </c>
      <c r="K428" s="2">
        <f t="shared" si="58"/>
        <v>6.5719512195121954E-2</v>
      </c>
      <c r="L428" t="str">
        <f t="shared" si="59"/>
        <v>Tier 1</v>
      </c>
    </row>
    <row r="429" spans="1:12" x14ac:dyDescent="0.35">
      <c r="A429" s="1" t="s">
        <v>1442</v>
      </c>
      <c r="B429">
        <v>438</v>
      </c>
      <c r="C429" t="s">
        <v>50</v>
      </c>
      <c r="D429" t="s">
        <v>1297</v>
      </c>
      <c r="E429" t="s">
        <v>42</v>
      </c>
      <c r="F429" t="s">
        <v>1443</v>
      </c>
      <c r="G429" t="s">
        <v>1444</v>
      </c>
      <c r="H429">
        <f t="shared" si="55"/>
        <v>13900000</v>
      </c>
      <c r="I429">
        <f t="shared" si="56"/>
        <v>235900</v>
      </c>
      <c r="J429">
        <f t="shared" si="57"/>
        <v>444800</v>
      </c>
      <c r="K429" s="2">
        <f t="shared" si="58"/>
        <v>1.6971223021582733E-2</v>
      </c>
      <c r="L429" t="str">
        <f t="shared" si="59"/>
        <v>Tier 2</v>
      </c>
    </row>
    <row r="430" spans="1:12" x14ac:dyDescent="0.35">
      <c r="A430" s="1" t="s">
        <v>1445</v>
      </c>
      <c r="B430">
        <v>439</v>
      </c>
      <c r="C430" t="s">
        <v>542</v>
      </c>
      <c r="D430" t="s">
        <v>118</v>
      </c>
      <c r="E430" t="s">
        <v>114</v>
      </c>
      <c r="F430" t="s">
        <v>1446</v>
      </c>
      <c r="G430" t="s">
        <v>434</v>
      </c>
      <c r="H430">
        <f t="shared" si="55"/>
        <v>6000000</v>
      </c>
      <c r="I430">
        <f t="shared" si="56"/>
        <v>840100</v>
      </c>
      <c r="J430">
        <f t="shared" si="57"/>
        <v>1000000</v>
      </c>
      <c r="K430" s="2">
        <f t="shared" si="58"/>
        <v>0.14001666666666668</v>
      </c>
      <c r="L430" t="str">
        <f t="shared" si="59"/>
        <v>Tier 1</v>
      </c>
    </row>
    <row r="431" spans="1:12" x14ac:dyDescent="0.35">
      <c r="A431" s="1" t="s">
        <v>1447</v>
      </c>
      <c r="B431">
        <v>440</v>
      </c>
      <c r="C431" t="s">
        <v>26</v>
      </c>
      <c r="D431" t="s">
        <v>1448</v>
      </c>
      <c r="E431" t="s">
        <v>22</v>
      </c>
      <c r="F431" t="s">
        <v>1449</v>
      </c>
      <c r="G431" t="s">
        <v>1450</v>
      </c>
      <c r="H431">
        <f t="shared" si="55"/>
        <v>39500000</v>
      </c>
      <c r="I431">
        <f t="shared" si="56"/>
        <v>113400</v>
      </c>
      <c r="J431">
        <f t="shared" si="57"/>
        <v>155200</v>
      </c>
      <c r="K431" s="2">
        <f t="shared" si="58"/>
        <v>2.870886075949367E-3</v>
      </c>
      <c r="L431" t="str">
        <f t="shared" si="59"/>
        <v>Tier 2</v>
      </c>
    </row>
    <row r="432" spans="1:12" x14ac:dyDescent="0.35">
      <c r="A432" s="1" t="s">
        <v>1451</v>
      </c>
      <c r="B432">
        <v>441</v>
      </c>
      <c r="C432" t="s">
        <v>69</v>
      </c>
      <c r="D432" t="s">
        <v>1452</v>
      </c>
      <c r="E432" t="s">
        <v>42</v>
      </c>
      <c r="F432" t="s">
        <v>1453</v>
      </c>
      <c r="G432" t="s">
        <v>1454</v>
      </c>
      <c r="H432">
        <f t="shared" si="55"/>
        <v>46100000</v>
      </c>
      <c r="I432">
        <f t="shared" si="56"/>
        <v>80800</v>
      </c>
      <c r="J432">
        <f t="shared" si="57"/>
        <v>132800</v>
      </c>
      <c r="K432" s="2">
        <f t="shared" si="58"/>
        <v>1.752711496746204E-3</v>
      </c>
      <c r="L432" t="str">
        <f t="shared" si="59"/>
        <v>Tier 2</v>
      </c>
    </row>
    <row r="433" spans="1:12" x14ac:dyDescent="0.35">
      <c r="A433" s="1" t="s">
        <v>1455</v>
      </c>
      <c r="B433">
        <v>442</v>
      </c>
      <c r="C433" t="s">
        <v>69</v>
      </c>
      <c r="D433" t="s">
        <v>699</v>
      </c>
      <c r="E433" t="s">
        <v>42</v>
      </c>
      <c r="F433" t="s">
        <v>1456</v>
      </c>
      <c r="G433" t="s">
        <v>1457</v>
      </c>
      <c r="H433">
        <f t="shared" si="55"/>
        <v>12300000</v>
      </c>
      <c r="I433">
        <f t="shared" si="56"/>
        <v>330900</v>
      </c>
      <c r="J433">
        <f t="shared" si="57"/>
        <v>494300</v>
      </c>
      <c r="K433" s="2">
        <f t="shared" si="58"/>
        <v>2.6902439024390244E-2</v>
      </c>
      <c r="L433" t="str">
        <f t="shared" si="59"/>
        <v>Tier 2</v>
      </c>
    </row>
    <row r="434" spans="1:12" x14ac:dyDescent="0.35">
      <c r="A434" s="1" t="s">
        <v>1458</v>
      </c>
      <c r="B434">
        <v>443</v>
      </c>
      <c r="C434" t="s">
        <v>26</v>
      </c>
      <c r="D434" t="s">
        <v>115</v>
      </c>
      <c r="E434" t="s">
        <v>58</v>
      </c>
      <c r="F434" t="s">
        <v>1459</v>
      </c>
      <c r="G434" t="s">
        <v>1460</v>
      </c>
      <c r="H434">
        <f t="shared" si="55"/>
        <v>6900000</v>
      </c>
      <c r="I434">
        <f t="shared" si="56"/>
        <v>720300</v>
      </c>
      <c r="J434">
        <f t="shared" si="57"/>
        <v>901000</v>
      </c>
      <c r="K434" s="2">
        <f t="shared" si="58"/>
        <v>0.10439130434782609</v>
      </c>
      <c r="L434" t="str">
        <f t="shared" si="59"/>
        <v>Tier 1</v>
      </c>
    </row>
    <row r="435" spans="1:12" x14ac:dyDescent="0.35">
      <c r="A435" s="1" t="s">
        <v>1461</v>
      </c>
      <c r="B435">
        <v>444</v>
      </c>
      <c r="C435" t="s">
        <v>69</v>
      </c>
      <c r="D435" t="s">
        <v>616</v>
      </c>
      <c r="E435" t="s">
        <v>10</v>
      </c>
      <c r="F435" t="s">
        <v>1462</v>
      </c>
      <c r="G435" t="s">
        <v>1463</v>
      </c>
      <c r="H435">
        <f t="shared" si="55"/>
        <v>37000000</v>
      </c>
      <c r="I435">
        <f t="shared" si="56"/>
        <v>141300</v>
      </c>
      <c r="J435">
        <f t="shared" si="57"/>
        <v>164400</v>
      </c>
      <c r="K435" s="2">
        <f t="shared" si="58"/>
        <v>3.818918918918919E-3</v>
      </c>
      <c r="L435" t="str">
        <f t="shared" si="59"/>
        <v>Tier 2</v>
      </c>
    </row>
    <row r="436" spans="1:12" x14ac:dyDescent="0.35">
      <c r="A436" s="1" t="s">
        <v>1464</v>
      </c>
      <c r="B436">
        <v>445</v>
      </c>
      <c r="C436" t="s">
        <v>26</v>
      </c>
      <c r="D436" t="s">
        <v>1465</v>
      </c>
      <c r="E436" t="s">
        <v>22</v>
      </c>
      <c r="F436" t="s">
        <v>1466</v>
      </c>
      <c r="G436" t="s">
        <v>1467</v>
      </c>
      <c r="H436">
        <f t="shared" si="55"/>
        <v>19200000</v>
      </c>
      <c r="I436">
        <f t="shared" si="56"/>
        <v>259700</v>
      </c>
      <c r="J436">
        <f t="shared" si="57"/>
        <v>319700</v>
      </c>
      <c r="K436" s="2">
        <f t="shared" si="58"/>
        <v>1.3526041666666667E-2</v>
      </c>
      <c r="L436" t="str">
        <f t="shared" si="59"/>
        <v>Tier 2</v>
      </c>
    </row>
    <row r="437" spans="1:12" x14ac:dyDescent="0.35">
      <c r="A437" s="1" t="s">
        <v>1468</v>
      </c>
      <c r="B437">
        <v>446</v>
      </c>
      <c r="C437" t="s">
        <v>26</v>
      </c>
      <c r="D437" t="s">
        <v>1148</v>
      </c>
      <c r="E437" t="s">
        <v>16</v>
      </c>
      <c r="F437" t="s">
        <v>1469</v>
      </c>
      <c r="G437" t="s">
        <v>1268</v>
      </c>
      <c r="H437">
        <f t="shared" si="55"/>
        <v>10100000</v>
      </c>
      <c r="I437">
        <f t="shared" si="56"/>
        <v>390500</v>
      </c>
      <c r="J437">
        <f t="shared" si="57"/>
        <v>600800</v>
      </c>
      <c r="K437" s="2">
        <f t="shared" si="58"/>
        <v>3.8663366336633663E-2</v>
      </c>
      <c r="L437" t="str">
        <f t="shared" si="59"/>
        <v>Tier 2</v>
      </c>
    </row>
    <row r="438" spans="1:12" x14ac:dyDescent="0.35">
      <c r="A438" s="1" t="s">
        <v>1470</v>
      </c>
      <c r="B438">
        <v>447</v>
      </c>
      <c r="C438" t="s">
        <v>26</v>
      </c>
      <c r="D438" t="s">
        <v>1383</v>
      </c>
      <c r="E438" t="s">
        <v>42</v>
      </c>
      <c r="F438" t="s">
        <v>1471</v>
      </c>
      <c r="G438" t="s">
        <v>1472</v>
      </c>
      <c r="H438">
        <f t="shared" si="55"/>
        <v>6400000</v>
      </c>
      <c r="I438">
        <f t="shared" si="56"/>
        <v>639600</v>
      </c>
      <c r="J438">
        <f t="shared" si="57"/>
        <v>955400</v>
      </c>
      <c r="K438" s="2">
        <f t="shared" si="58"/>
        <v>9.9937499999999999E-2</v>
      </c>
      <c r="L438" t="str">
        <f t="shared" si="59"/>
        <v>Tier 1</v>
      </c>
    </row>
    <row r="439" spans="1:12" x14ac:dyDescent="0.35">
      <c r="A439" s="1" t="s">
        <v>1473</v>
      </c>
      <c r="B439">
        <v>448</v>
      </c>
      <c r="C439" t="s">
        <v>834</v>
      </c>
      <c r="D439" t="s">
        <v>60</v>
      </c>
      <c r="E439" t="s">
        <v>58</v>
      </c>
      <c r="F439" t="s">
        <v>1474</v>
      </c>
      <c r="G439" t="s">
        <v>581</v>
      </c>
      <c r="H439">
        <f t="shared" si="55"/>
        <v>7300000</v>
      </c>
      <c r="I439">
        <f t="shared" si="56"/>
        <v>698200</v>
      </c>
      <c r="J439">
        <f t="shared" si="57"/>
        <v>836500</v>
      </c>
      <c r="K439" s="2">
        <f t="shared" si="58"/>
        <v>9.5643835616438355E-2</v>
      </c>
      <c r="L439" t="str">
        <f t="shared" si="59"/>
        <v>Tier 1</v>
      </c>
    </row>
    <row r="440" spans="1:12" x14ac:dyDescent="0.35">
      <c r="A440" s="1" t="s">
        <v>1475</v>
      </c>
      <c r="B440">
        <v>449</v>
      </c>
      <c r="C440" t="s">
        <v>69</v>
      </c>
      <c r="D440" t="s">
        <v>1066</v>
      </c>
      <c r="E440" t="s">
        <v>58</v>
      </c>
      <c r="F440" t="s">
        <v>1476</v>
      </c>
      <c r="G440" t="s">
        <v>90</v>
      </c>
      <c r="H440">
        <f t="shared" si="55"/>
        <v>5300000</v>
      </c>
      <c r="I440">
        <f t="shared" si="56"/>
        <v>931700</v>
      </c>
      <c r="J440">
        <f t="shared" si="57"/>
        <v>1100000</v>
      </c>
      <c r="K440" s="2">
        <f t="shared" si="58"/>
        <v>0.17579245283018868</v>
      </c>
      <c r="L440" t="str">
        <f t="shared" si="59"/>
        <v>Tier 1</v>
      </c>
    </row>
    <row r="441" spans="1:12" x14ac:dyDescent="0.35">
      <c r="A441" s="1" t="s">
        <v>1477</v>
      </c>
      <c r="B441">
        <v>450</v>
      </c>
      <c r="C441" t="s">
        <v>180</v>
      </c>
      <c r="D441" t="s">
        <v>1256</v>
      </c>
      <c r="E441" t="s">
        <v>252</v>
      </c>
      <c r="F441" t="s">
        <v>1478</v>
      </c>
      <c r="G441" t="s">
        <v>1479</v>
      </c>
      <c r="H441">
        <f t="shared" si="55"/>
        <v>27500000</v>
      </c>
      <c r="I441">
        <f t="shared" si="56"/>
        <v>129400</v>
      </c>
      <c r="J441">
        <f t="shared" si="57"/>
        <v>216300</v>
      </c>
      <c r="K441" s="2">
        <f t="shared" si="58"/>
        <v>4.7054545454545457E-3</v>
      </c>
      <c r="L441" t="str">
        <f t="shared" si="59"/>
        <v>Tier 2</v>
      </c>
    </row>
    <row r="442" spans="1:12" x14ac:dyDescent="0.35">
      <c r="A442" s="1" t="s">
        <v>1480</v>
      </c>
      <c r="B442">
        <v>451</v>
      </c>
      <c r="C442" t="s">
        <v>820</v>
      </c>
      <c r="D442" t="s">
        <v>802</v>
      </c>
      <c r="E442" t="s">
        <v>195</v>
      </c>
      <c r="F442" t="s">
        <v>1481</v>
      </c>
      <c r="G442" t="s">
        <v>1482</v>
      </c>
      <c r="H442">
        <f t="shared" si="55"/>
        <v>9400000</v>
      </c>
      <c r="I442">
        <f t="shared" si="56"/>
        <v>471300</v>
      </c>
      <c r="J442">
        <f t="shared" si="57"/>
        <v>648700</v>
      </c>
      <c r="K442" s="2">
        <f t="shared" si="58"/>
        <v>5.0138297872340427E-2</v>
      </c>
      <c r="L442" t="str">
        <f t="shared" si="59"/>
        <v>Tier 1</v>
      </c>
    </row>
    <row r="443" spans="1:12" x14ac:dyDescent="0.35">
      <c r="A443" s="1" t="s">
        <v>1483</v>
      </c>
      <c r="B443">
        <v>452</v>
      </c>
      <c r="C443" t="s">
        <v>979</v>
      </c>
      <c r="D443" t="s">
        <v>1484</v>
      </c>
      <c r="E443" t="s">
        <v>195</v>
      </c>
      <c r="F443" t="s">
        <v>1485</v>
      </c>
      <c r="G443" t="s">
        <v>1486</v>
      </c>
      <c r="H443">
        <f t="shared" si="55"/>
        <v>17500000</v>
      </c>
      <c r="I443">
        <f t="shared" si="56"/>
        <v>247000</v>
      </c>
      <c r="J443">
        <f t="shared" si="57"/>
        <v>337400</v>
      </c>
      <c r="K443" s="2">
        <f t="shared" si="58"/>
        <v>1.4114285714285715E-2</v>
      </c>
      <c r="L443" t="str">
        <f t="shared" si="59"/>
        <v>Tier 2</v>
      </c>
    </row>
    <row r="444" spans="1:12" x14ac:dyDescent="0.35">
      <c r="A444" s="1" t="s">
        <v>1487</v>
      </c>
      <c r="B444">
        <v>453</v>
      </c>
      <c r="C444" t="s">
        <v>69</v>
      </c>
      <c r="D444" t="s">
        <v>1202</v>
      </c>
      <c r="E444" t="s">
        <v>10</v>
      </c>
      <c r="F444" t="s">
        <v>1488</v>
      </c>
      <c r="G444" t="s">
        <v>1489</v>
      </c>
      <c r="H444">
        <f t="shared" si="55"/>
        <v>12200000</v>
      </c>
      <c r="I444">
        <f t="shared" si="56"/>
        <v>421500</v>
      </c>
      <c r="J444">
        <f t="shared" si="57"/>
        <v>482200</v>
      </c>
      <c r="K444" s="2">
        <f t="shared" si="58"/>
        <v>3.4549180327868856E-2</v>
      </c>
      <c r="L444" t="str">
        <f t="shared" si="59"/>
        <v>Tier 2</v>
      </c>
    </row>
    <row r="445" spans="1:12" x14ac:dyDescent="0.35">
      <c r="A445" s="1" t="s">
        <v>1490</v>
      </c>
      <c r="B445">
        <v>454</v>
      </c>
      <c r="C445" t="s">
        <v>157</v>
      </c>
      <c r="D445" t="s">
        <v>451</v>
      </c>
      <c r="E445" t="s">
        <v>10</v>
      </c>
      <c r="F445" t="s">
        <v>1491</v>
      </c>
      <c r="G445" t="s">
        <v>1492</v>
      </c>
      <c r="H445">
        <f t="shared" si="55"/>
        <v>12600000</v>
      </c>
      <c r="I445">
        <f t="shared" si="56"/>
        <v>297100</v>
      </c>
      <c r="J445">
        <f t="shared" si="57"/>
        <v>468800</v>
      </c>
      <c r="K445" s="2">
        <f t="shared" si="58"/>
        <v>2.3579365079365078E-2</v>
      </c>
      <c r="L445" t="str">
        <f t="shared" si="59"/>
        <v>Tier 2</v>
      </c>
    </row>
    <row r="446" spans="1:12" x14ac:dyDescent="0.35">
      <c r="A446" s="1" t="s">
        <v>1493</v>
      </c>
      <c r="B446">
        <v>455</v>
      </c>
      <c r="C446" t="s">
        <v>26</v>
      </c>
      <c r="D446" t="s">
        <v>1207</v>
      </c>
      <c r="E446" t="s">
        <v>22</v>
      </c>
      <c r="F446" t="s">
        <v>1494</v>
      </c>
      <c r="G446" t="s">
        <v>1495</v>
      </c>
      <c r="H446">
        <f t="shared" ref="H446:H509" si="60">IF(RIGHT(D446,1)="M", VALUE(SUBSTITUTE(D446,"M",""))*1000000, VALUE(SUBSTITUTE(D446,"K",""))*1000)</f>
        <v>19900000</v>
      </c>
      <c r="I446">
        <f t="shared" ref="I446:I509" si="61">IF(RIGHT(F446,1)="M", VALUE(SUBSTITUTE(F446,"M",""))*1000000, VALUE(SUBSTITUTE(F446,"K",""))*1000)</f>
        <v>165600</v>
      </c>
      <c r="J446">
        <f t="shared" ref="J446:J509" si="62">IF(RIGHT(G446,1)="M", VALUE(SUBSTITUTE(G446,"M",""))*1000000, VALUE(SUBSTITUTE(G446,"K",""))*1000)</f>
        <v>295900</v>
      </c>
      <c r="K446" s="2">
        <f t="shared" ref="K446:K509" si="63">I446/H446</f>
        <v>8.3216080402010052E-3</v>
      </c>
      <c r="L446" t="str">
        <f t="shared" ref="L446:L509" si="64">IF(H446&lt;10000000,"Tier 1",
 IF(H446&lt;50000000,"Tier 2",
 IF(H446&lt;100000000,"Tier 3",
 "Tier 4")))</f>
        <v>Tier 2</v>
      </c>
    </row>
    <row r="447" spans="1:12" x14ac:dyDescent="0.35">
      <c r="A447" s="1" t="s">
        <v>1496</v>
      </c>
      <c r="B447">
        <v>457</v>
      </c>
      <c r="C447" t="s">
        <v>69</v>
      </c>
      <c r="D447" t="s">
        <v>1497</v>
      </c>
      <c r="E447" t="s">
        <v>141</v>
      </c>
      <c r="F447" t="s">
        <v>1498</v>
      </c>
      <c r="G447" t="s">
        <v>1499</v>
      </c>
      <c r="H447">
        <f t="shared" si="60"/>
        <v>29800000</v>
      </c>
      <c r="I447">
        <f t="shared" si="61"/>
        <v>138300</v>
      </c>
      <c r="J447">
        <f t="shared" si="62"/>
        <v>196700</v>
      </c>
      <c r="K447" s="2">
        <f t="shared" si="63"/>
        <v>4.640939597315436E-3</v>
      </c>
      <c r="L447" t="str">
        <f t="shared" si="64"/>
        <v>Tier 2</v>
      </c>
    </row>
    <row r="448" spans="1:12" x14ac:dyDescent="0.35">
      <c r="A448" s="1" t="s">
        <v>1500</v>
      </c>
      <c r="B448">
        <v>458</v>
      </c>
      <c r="C448" t="s">
        <v>8</v>
      </c>
      <c r="D448" t="s">
        <v>1501</v>
      </c>
      <c r="E448" t="s">
        <v>279</v>
      </c>
      <c r="F448" t="s">
        <v>1502</v>
      </c>
      <c r="G448" t="s">
        <v>1503</v>
      </c>
      <c r="H448">
        <f t="shared" si="60"/>
        <v>36400000</v>
      </c>
      <c r="I448">
        <f t="shared" si="61"/>
        <v>99500</v>
      </c>
      <c r="J448">
        <f t="shared" si="62"/>
        <v>160900</v>
      </c>
      <c r="K448" s="2">
        <f t="shared" si="63"/>
        <v>2.7335164835164834E-3</v>
      </c>
      <c r="L448" t="str">
        <f t="shared" si="64"/>
        <v>Tier 2</v>
      </c>
    </row>
    <row r="449" spans="1:12" x14ac:dyDescent="0.35">
      <c r="A449" s="1" t="s">
        <v>1504</v>
      </c>
      <c r="B449">
        <v>459</v>
      </c>
      <c r="C449" t="s">
        <v>1072</v>
      </c>
      <c r="D449" t="s">
        <v>1505</v>
      </c>
      <c r="E449" t="s">
        <v>42</v>
      </c>
      <c r="F449" t="s">
        <v>1506</v>
      </c>
      <c r="G449" t="s">
        <v>1507</v>
      </c>
      <c r="H449">
        <f t="shared" si="60"/>
        <v>9500000</v>
      </c>
      <c r="I449">
        <f t="shared" si="61"/>
        <v>550700</v>
      </c>
      <c r="J449">
        <f t="shared" si="62"/>
        <v>624900</v>
      </c>
      <c r="K449" s="2">
        <f t="shared" si="63"/>
        <v>5.7968421052631579E-2</v>
      </c>
      <c r="L449" t="str">
        <f t="shared" si="64"/>
        <v>Tier 1</v>
      </c>
    </row>
    <row r="450" spans="1:12" x14ac:dyDescent="0.35">
      <c r="A450" s="1" t="s">
        <v>1508</v>
      </c>
      <c r="B450">
        <v>460</v>
      </c>
      <c r="C450" t="s">
        <v>305</v>
      </c>
      <c r="D450" t="s">
        <v>1509</v>
      </c>
      <c r="E450" t="s">
        <v>22</v>
      </c>
      <c r="F450" t="s">
        <v>1169</v>
      </c>
      <c r="G450" t="s">
        <v>1510</v>
      </c>
      <c r="H450">
        <f t="shared" si="60"/>
        <v>7100000</v>
      </c>
      <c r="I450">
        <f t="shared" si="61"/>
        <v>616300</v>
      </c>
      <c r="J450">
        <f t="shared" si="62"/>
        <v>834000</v>
      </c>
      <c r="K450" s="2">
        <f t="shared" si="63"/>
        <v>8.6802816901408453E-2</v>
      </c>
      <c r="L450" t="str">
        <f t="shared" si="64"/>
        <v>Tier 1</v>
      </c>
    </row>
    <row r="451" spans="1:12" x14ac:dyDescent="0.35">
      <c r="A451" s="1" t="s">
        <v>1511</v>
      </c>
      <c r="B451">
        <v>461</v>
      </c>
      <c r="C451" t="s">
        <v>69</v>
      </c>
      <c r="D451" t="s">
        <v>620</v>
      </c>
      <c r="E451" t="s">
        <v>22</v>
      </c>
      <c r="F451" t="s">
        <v>1512</v>
      </c>
      <c r="G451" t="s">
        <v>1513</v>
      </c>
      <c r="H451">
        <f t="shared" si="60"/>
        <v>8500000</v>
      </c>
      <c r="I451">
        <f t="shared" si="61"/>
        <v>531600</v>
      </c>
      <c r="J451">
        <f t="shared" si="62"/>
        <v>696700</v>
      </c>
      <c r="K451" s="2">
        <f t="shared" si="63"/>
        <v>6.2541176470588239E-2</v>
      </c>
      <c r="L451" t="str">
        <f t="shared" si="64"/>
        <v>Tier 1</v>
      </c>
    </row>
    <row r="452" spans="1:12" x14ac:dyDescent="0.35">
      <c r="A452" s="1" t="s">
        <v>1514</v>
      </c>
      <c r="B452">
        <v>462</v>
      </c>
      <c r="C452" t="s">
        <v>69</v>
      </c>
      <c r="D452" t="s">
        <v>94</v>
      </c>
      <c r="E452" t="s">
        <v>58</v>
      </c>
      <c r="F452" t="s">
        <v>1515</v>
      </c>
      <c r="G452" t="s">
        <v>90</v>
      </c>
      <c r="H452">
        <f t="shared" si="60"/>
        <v>5600000</v>
      </c>
      <c r="I452">
        <f t="shared" si="61"/>
        <v>823700</v>
      </c>
      <c r="J452">
        <f t="shared" si="62"/>
        <v>1100000</v>
      </c>
      <c r="K452" s="2">
        <f t="shared" si="63"/>
        <v>0.14708928571428573</v>
      </c>
      <c r="L452" t="str">
        <f t="shared" si="64"/>
        <v>Tier 1</v>
      </c>
    </row>
    <row r="453" spans="1:12" x14ac:dyDescent="0.35">
      <c r="A453" s="1" t="s">
        <v>1516</v>
      </c>
      <c r="B453">
        <v>463</v>
      </c>
      <c r="C453" t="s">
        <v>920</v>
      </c>
      <c r="D453" t="s">
        <v>1517</v>
      </c>
      <c r="E453" t="s">
        <v>1518</v>
      </c>
      <c r="F453" t="s">
        <v>1519</v>
      </c>
      <c r="G453" t="s">
        <v>1520</v>
      </c>
      <c r="H453">
        <f t="shared" si="60"/>
        <v>7400000</v>
      </c>
      <c r="I453">
        <f t="shared" si="61"/>
        <v>690300</v>
      </c>
      <c r="J453">
        <f t="shared" si="62"/>
        <v>829000</v>
      </c>
      <c r="K453" s="2">
        <f t="shared" si="63"/>
        <v>9.3283783783783783E-2</v>
      </c>
      <c r="L453" t="str">
        <f t="shared" si="64"/>
        <v>Tier 1</v>
      </c>
    </row>
    <row r="454" spans="1:12" x14ac:dyDescent="0.35">
      <c r="A454" s="1" t="s">
        <v>1521</v>
      </c>
      <c r="B454">
        <v>464</v>
      </c>
      <c r="C454" t="s">
        <v>50</v>
      </c>
      <c r="D454" t="s">
        <v>1021</v>
      </c>
      <c r="E454" t="s">
        <v>22</v>
      </c>
      <c r="F454" t="s">
        <v>1155</v>
      </c>
      <c r="G454" t="s">
        <v>1522</v>
      </c>
      <c r="H454">
        <f t="shared" si="60"/>
        <v>10500000</v>
      </c>
      <c r="I454">
        <f t="shared" si="61"/>
        <v>335500</v>
      </c>
      <c r="J454">
        <f t="shared" si="62"/>
        <v>551700</v>
      </c>
      <c r="K454" s="2">
        <f t="shared" si="63"/>
        <v>3.1952380952380954E-2</v>
      </c>
      <c r="L454" t="str">
        <f t="shared" si="64"/>
        <v>Tier 2</v>
      </c>
    </row>
    <row r="455" spans="1:12" x14ac:dyDescent="0.35">
      <c r="A455" s="1" t="s">
        <v>1523</v>
      </c>
      <c r="B455">
        <v>465</v>
      </c>
      <c r="C455" t="s">
        <v>26</v>
      </c>
      <c r="D455" t="s">
        <v>382</v>
      </c>
      <c r="E455" t="s">
        <v>42</v>
      </c>
      <c r="F455" t="s">
        <v>1524</v>
      </c>
      <c r="G455" t="s">
        <v>1525</v>
      </c>
      <c r="H455">
        <f t="shared" si="60"/>
        <v>24600000</v>
      </c>
      <c r="I455">
        <f t="shared" si="61"/>
        <v>134500</v>
      </c>
      <c r="J455">
        <f t="shared" si="62"/>
        <v>236500</v>
      </c>
      <c r="K455" s="2">
        <f t="shared" si="63"/>
        <v>5.4674796747967479E-3</v>
      </c>
      <c r="L455" t="str">
        <f t="shared" si="64"/>
        <v>Tier 2</v>
      </c>
    </row>
    <row r="456" spans="1:12" x14ac:dyDescent="0.35">
      <c r="A456" s="1" t="s">
        <v>1526</v>
      </c>
      <c r="B456">
        <v>466</v>
      </c>
      <c r="C456" t="s">
        <v>313</v>
      </c>
      <c r="D456" t="s">
        <v>1125</v>
      </c>
      <c r="E456" t="s">
        <v>141</v>
      </c>
      <c r="F456" t="s">
        <v>1527</v>
      </c>
      <c r="G456" t="s">
        <v>1528</v>
      </c>
      <c r="H456">
        <f t="shared" si="60"/>
        <v>17200000</v>
      </c>
      <c r="I456">
        <f t="shared" si="61"/>
        <v>218100</v>
      </c>
      <c r="J456">
        <f t="shared" si="62"/>
        <v>334700</v>
      </c>
      <c r="K456" s="2">
        <f t="shared" si="63"/>
        <v>1.2680232558139534E-2</v>
      </c>
      <c r="L456" t="str">
        <f t="shared" si="64"/>
        <v>Tier 2</v>
      </c>
    </row>
    <row r="457" spans="1:12" x14ac:dyDescent="0.35">
      <c r="A457" s="1" t="s">
        <v>1529</v>
      </c>
      <c r="B457">
        <v>467</v>
      </c>
      <c r="C457" t="s">
        <v>1530</v>
      </c>
      <c r="D457" t="s">
        <v>74</v>
      </c>
      <c r="E457" t="s">
        <v>58</v>
      </c>
      <c r="F457" t="s">
        <v>1531</v>
      </c>
      <c r="G457" t="s">
        <v>1532</v>
      </c>
      <c r="H457">
        <f t="shared" si="60"/>
        <v>11800000</v>
      </c>
      <c r="I457">
        <f t="shared" si="61"/>
        <v>205400</v>
      </c>
      <c r="J457">
        <f t="shared" si="62"/>
        <v>488200</v>
      </c>
      <c r="K457" s="2">
        <f t="shared" si="63"/>
        <v>1.740677966101695E-2</v>
      </c>
      <c r="L457" t="str">
        <f t="shared" si="64"/>
        <v>Tier 2</v>
      </c>
    </row>
    <row r="458" spans="1:12" x14ac:dyDescent="0.35">
      <c r="A458" s="1" t="s">
        <v>1533</v>
      </c>
      <c r="B458">
        <v>468</v>
      </c>
      <c r="C458" t="s">
        <v>357</v>
      </c>
      <c r="D458" t="s">
        <v>588</v>
      </c>
      <c r="E458" t="s">
        <v>42</v>
      </c>
      <c r="F458" t="s">
        <v>1534</v>
      </c>
      <c r="G458" t="s">
        <v>1535</v>
      </c>
      <c r="H458">
        <f t="shared" si="60"/>
        <v>9800000</v>
      </c>
      <c r="I458">
        <f t="shared" si="61"/>
        <v>344700</v>
      </c>
      <c r="J458">
        <f t="shared" si="62"/>
        <v>605000</v>
      </c>
      <c r="K458" s="2">
        <f t="shared" si="63"/>
        <v>3.5173469387755105E-2</v>
      </c>
      <c r="L458" t="str">
        <f t="shared" si="64"/>
        <v>Tier 1</v>
      </c>
    </row>
    <row r="459" spans="1:12" x14ac:dyDescent="0.35">
      <c r="A459" s="1" t="s">
        <v>1536</v>
      </c>
      <c r="B459">
        <v>469</v>
      </c>
      <c r="C459" t="s">
        <v>634</v>
      </c>
      <c r="D459" t="s">
        <v>1537</v>
      </c>
      <c r="E459" t="s">
        <v>22</v>
      </c>
      <c r="F459" t="s">
        <v>1538</v>
      </c>
      <c r="G459" t="s">
        <v>1539</v>
      </c>
      <c r="H459">
        <f t="shared" si="60"/>
        <v>22700000</v>
      </c>
      <c r="I459">
        <f t="shared" si="61"/>
        <v>126400</v>
      </c>
      <c r="J459">
        <f t="shared" si="62"/>
        <v>253100</v>
      </c>
      <c r="K459" s="2">
        <f t="shared" si="63"/>
        <v>5.5682819383259911E-3</v>
      </c>
      <c r="L459" t="str">
        <f t="shared" si="64"/>
        <v>Tier 2</v>
      </c>
    </row>
    <row r="460" spans="1:12" x14ac:dyDescent="0.35">
      <c r="A460" s="1" t="s">
        <v>1540</v>
      </c>
      <c r="B460">
        <v>470</v>
      </c>
      <c r="C460" t="s">
        <v>69</v>
      </c>
      <c r="D460" t="s">
        <v>671</v>
      </c>
      <c r="E460" t="s">
        <v>58</v>
      </c>
      <c r="F460" t="s">
        <v>1541</v>
      </c>
      <c r="G460" t="s">
        <v>1542</v>
      </c>
      <c r="H460">
        <f t="shared" si="60"/>
        <v>13500000</v>
      </c>
      <c r="I460">
        <f t="shared" si="61"/>
        <v>352900</v>
      </c>
      <c r="J460">
        <f t="shared" si="62"/>
        <v>422900</v>
      </c>
      <c r="K460" s="2">
        <f t="shared" si="63"/>
        <v>2.6140740740740742E-2</v>
      </c>
      <c r="L460" t="str">
        <f t="shared" si="64"/>
        <v>Tier 2</v>
      </c>
    </row>
    <row r="461" spans="1:12" x14ac:dyDescent="0.35">
      <c r="A461" s="1" t="s">
        <v>1543</v>
      </c>
      <c r="B461">
        <v>471</v>
      </c>
      <c r="C461" t="s">
        <v>76</v>
      </c>
      <c r="D461" t="s">
        <v>1076</v>
      </c>
      <c r="E461" t="s">
        <v>42</v>
      </c>
      <c r="F461" t="s">
        <v>1544</v>
      </c>
      <c r="G461" t="s">
        <v>1545</v>
      </c>
      <c r="H461">
        <f t="shared" si="60"/>
        <v>22400000</v>
      </c>
      <c r="I461">
        <f t="shared" si="61"/>
        <v>166300</v>
      </c>
      <c r="J461">
        <f t="shared" si="62"/>
        <v>256100.00000000003</v>
      </c>
      <c r="K461" s="2">
        <f t="shared" si="63"/>
        <v>7.4241071428571429E-3</v>
      </c>
      <c r="L461" t="str">
        <f t="shared" si="64"/>
        <v>Tier 2</v>
      </c>
    </row>
    <row r="462" spans="1:12" x14ac:dyDescent="0.35">
      <c r="A462" s="1" t="s">
        <v>1546</v>
      </c>
      <c r="B462">
        <v>472</v>
      </c>
      <c r="C462" t="s">
        <v>8</v>
      </c>
      <c r="D462" t="s">
        <v>742</v>
      </c>
      <c r="E462" t="s">
        <v>279</v>
      </c>
      <c r="F462" t="s">
        <v>1547</v>
      </c>
      <c r="G462" t="s">
        <v>1548</v>
      </c>
      <c r="H462">
        <f t="shared" si="60"/>
        <v>9000000</v>
      </c>
      <c r="I462">
        <f t="shared" si="61"/>
        <v>428700</v>
      </c>
      <c r="J462">
        <f t="shared" si="62"/>
        <v>643000</v>
      </c>
      <c r="K462" s="2">
        <f t="shared" si="63"/>
        <v>4.7633333333333333E-2</v>
      </c>
      <c r="L462" t="str">
        <f t="shared" si="64"/>
        <v>Tier 1</v>
      </c>
    </row>
    <row r="463" spans="1:12" x14ac:dyDescent="0.35">
      <c r="A463" s="1" t="s">
        <v>1549</v>
      </c>
      <c r="B463">
        <v>473</v>
      </c>
      <c r="C463" t="s">
        <v>76</v>
      </c>
      <c r="D463" t="s">
        <v>1550</v>
      </c>
      <c r="E463" t="s">
        <v>10</v>
      </c>
      <c r="F463" t="s">
        <v>1551</v>
      </c>
      <c r="G463" t="s">
        <v>314</v>
      </c>
      <c r="H463">
        <f t="shared" si="60"/>
        <v>11500000</v>
      </c>
      <c r="I463">
        <f t="shared" si="61"/>
        <v>391100</v>
      </c>
      <c r="J463">
        <f t="shared" si="62"/>
        <v>499700</v>
      </c>
      <c r="K463" s="2">
        <f t="shared" si="63"/>
        <v>3.4008695652173911E-2</v>
      </c>
      <c r="L463" t="str">
        <f t="shared" si="64"/>
        <v>Tier 2</v>
      </c>
    </row>
    <row r="464" spans="1:12" x14ac:dyDescent="0.35">
      <c r="A464" s="1" t="s">
        <v>1552</v>
      </c>
      <c r="B464">
        <v>474</v>
      </c>
      <c r="C464" t="s">
        <v>1193</v>
      </c>
      <c r="D464" t="s">
        <v>1553</v>
      </c>
      <c r="E464" t="s">
        <v>195</v>
      </c>
      <c r="F464" t="s">
        <v>1554</v>
      </c>
      <c r="G464" t="s">
        <v>1555</v>
      </c>
      <c r="H464">
        <f t="shared" si="60"/>
        <v>33500000</v>
      </c>
      <c r="I464">
        <f t="shared" si="61"/>
        <v>119800</v>
      </c>
      <c r="J464">
        <f t="shared" si="62"/>
        <v>168600</v>
      </c>
      <c r="K464" s="2">
        <f t="shared" si="63"/>
        <v>3.5761194029850746E-3</v>
      </c>
      <c r="L464" t="str">
        <f t="shared" si="64"/>
        <v>Tier 2</v>
      </c>
    </row>
    <row r="465" spans="1:12" x14ac:dyDescent="0.35">
      <c r="A465" s="1" t="s">
        <v>1556</v>
      </c>
      <c r="B465">
        <v>475</v>
      </c>
      <c r="C465" t="s">
        <v>436</v>
      </c>
      <c r="D465" t="s">
        <v>1076</v>
      </c>
      <c r="E465" t="s">
        <v>22</v>
      </c>
      <c r="F465" t="s">
        <v>1557</v>
      </c>
      <c r="G465" t="s">
        <v>1558</v>
      </c>
      <c r="H465">
        <f t="shared" si="60"/>
        <v>22400000</v>
      </c>
      <c r="I465">
        <f t="shared" si="61"/>
        <v>201100</v>
      </c>
      <c r="J465">
        <f t="shared" si="62"/>
        <v>251000</v>
      </c>
      <c r="K465" s="2">
        <f t="shared" si="63"/>
        <v>8.9776785714285722E-3</v>
      </c>
      <c r="L465" t="str">
        <f t="shared" si="64"/>
        <v>Tier 2</v>
      </c>
    </row>
    <row r="466" spans="1:12" x14ac:dyDescent="0.35">
      <c r="A466" s="1" t="s">
        <v>1559</v>
      </c>
      <c r="B466">
        <v>476</v>
      </c>
      <c r="C466" t="s">
        <v>26</v>
      </c>
      <c r="D466" t="s">
        <v>1560</v>
      </c>
      <c r="E466" t="s">
        <v>42</v>
      </c>
      <c r="F466" t="s">
        <v>1561</v>
      </c>
      <c r="G466" t="s">
        <v>1562</v>
      </c>
      <c r="H466">
        <f t="shared" si="60"/>
        <v>43800000</v>
      </c>
      <c r="I466">
        <f t="shared" si="61"/>
        <v>77100</v>
      </c>
      <c r="J466">
        <f t="shared" si="62"/>
        <v>129699.99999999999</v>
      </c>
      <c r="K466" s="2">
        <f t="shared" si="63"/>
        <v>1.7602739726027398E-3</v>
      </c>
      <c r="L466" t="str">
        <f t="shared" si="64"/>
        <v>Tier 2</v>
      </c>
    </row>
    <row r="467" spans="1:12" x14ac:dyDescent="0.35">
      <c r="A467" s="1" t="s">
        <v>1563</v>
      </c>
      <c r="B467">
        <v>477</v>
      </c>
      <c r="C467" t="s">
        <v>1564</v>
      </c>
      <c r="D467" t="s">
        <v>1565</v>
      </c>
      <c r="E467" t="s">
        <v>22</v>
      </c>
      <c r="F467" t="s">
        <v>1566</v>
      </c>
      <c r="G467" t="s">
        <v>1567</v>
      </c>
      <c r="H467">
        <f t="shared" si="60"/>
        <v>9700000</v>
      </c>
      <c r="I467">
        <f t="shared" si="61"/>
        <v>404200</v>
      </c>
      <c r="J467">
        <f t="shared" si="62"/>
        <v>584600</v>
      </c>
      <c r="K467" s="2">
        <f t="shared" si="63"/>
        <v>4.1670103092783503E-2</v>
      </c>
      <c r="L467" t="str">
        <f t="shared" si="64"/>
        <v>Tier 1</v>
      </c>
    </row>
    <row r="468" spans="1:12" x14ac:dyDescent="0.35">
      <c r="A468" s="1" t="s">
        <v>1568</v>
      </c>
      <c r="B468">
        <v>478</v>
      </c>
      <c r="C468" t="s">
        <v>69</v>
      </c>
      <c r="D468" t="s">
        <v>262</v>
      </c>
      <c r="E468" t="s">
        <v>10</v>
      </c>
      <c r="F468" t="s">
        <v>1569</v>
      </c>
      <c r="G468" t="s">
        <v>1570</v>
      </c>
      <c r="H468">
        <f t="shared" si="60"/>
        <v>23000000</v>
      </c>
      <c r="I468">
        <f t="shared" si="61"/>
        <v>207200</v>
      </c>
      <c r="J468">
        <f t="shared" si="62"/>
        <v>243100</v>
      </c>
      <c r="K468" s="2">
        <f t="shared" si="63"/>
        <v>9.0086956521739127E-3</v>
      </c>
      <c r="L468" t="str">
        <f t="shared" si="64"/>
        <v>Tier 2</v>
      </c>
    </row>
    <row r="469" spans="1:12" x14ac:dyDescent="0.35">
      <c r="A469" s="1" t="s">
        <v>1571</v>
      </c>
      <c r="B469">
        <v>479</v>
      </c>
      <c r="C469" t="s">
        <v>26</v>
      </c>
      <c r="D469" t="s">
        <v>1572</v>
      </c>
      <c r="E469" t="s">
        <v>584</v>
      </c>
      <c r="F469" t="s">
        <v>1573</v>
      </c>
      <c r="G469" t="s">
        <v>1574</v>
      </c>
      <c r="H469">
        <f t="shared" si="60"/>
        <v>43400000</v>
      </c>
      <c r="I469">
        <f t="shared" si="61"/>
        <v>109300</v>
      </c>
      <c r="J469">
        <f t="shared" si="62"/>
        <v>129600</v>
      </c>
      <c r="K469" s="2">
        <f t="shared" si="63"/>
        <v>2.5184331797235022E-3</v>
      </c>
      <c r="L469" t="str">
        <f t="shared" si="64"/>
        <v>Tier 2</v>
      </c>
    </row>
    <row r="470" spans="1:12" x14ac:dyDescent="0.35">
      <c r="A470" s="1" t="s">
        <v>1575</v>
      </c>
      <c r="B470">
        <v>480</v>
      </c>
      <c r="C470" t="s">
        <v>76</v>
      </c>
      <c r="D470" t="s">
        <v>810</v>
      </c>
      <c r="E470" t="s">
        <v>22</v>
      </c>
      <c r="F470" t="s">
        <v>1576</v>
      </c>
      <c r="G470" t="s">
        <v>1577</v>
      </c>
      <c r="H470">
        <f t="shared" si="60"/>
        <v>7600000</v>
      </c>
      <c r="I470">
        <f t="shared" si="61"/>
        <v>521799.99999999994</v>
      </c>
      <c r="J470">
        <f t="shared" si="62"/>
        <v>738800</v>
      </c>
      <c r="K470" s="2">
        <f t="shared" si="63"/>
        <v>6.8657894736842098E-2</v>
      </c>
      <c r="L470" t="str">
        <f t="shared" si="64"/>
        <v>Tier 1</v>
      </c>
    </row>
    <row r="471" spans="1:12" x14ac:dyDescent="0.35">
      <c r="A471" s="1" t="s">
        <v>1578</v>
      </c>
      <c r="B471">
        <v>481</v>
      </c>
      <c r="C471" t="s">
        <v>1579</v>
      </c>
      <c r="D471" t="s">
        <v>1580</v>
      </c>
      <c r="E471" t="s">
        <v>42</v>
      </c>
      <c r="F471" t="s">
        <v>1581</v>
      </c>
      <c r="G471" t="s">
        <v>1582</v>
      </c>
      <c r="H471">
        <f t="shared" si="60"/>
        <v>45200000</v>
      </c>
      <c r="I471">
        <f t="shared" si="61"/>
        <v>79100</v>
      </c>
      <c r="J471">
        <f t="shared" si="62"/>
        <v>122200</v>
      </c>
      <c r="K471" s="2">
        <f t="shared" si="63"/>
        <v>1.75E-3</v>
      </c>
      <c r="L471" t="str">
        <f t="shared" si="64"/>
        <v>Tier 2</v>
      </c>
    </row>
    <row r="472" spans="1:12" x14ac:dyDescent="0.35">
      <c r="A472" s="1" t="s">
        <v>1583</v>
      </c>
      <c r="B472">
        <v>482</v>
      </c>
      <c r="D472" t="s">
        <v>1009</v>
      </c>
      <c r="E472" t="s">
        <v>141</v>
      </c>
      <c r="F472" t="s">
        <v>1584</v>
      </c>
      <c r="G472" t="s">
        <v>1585</v>
      </c>
      <c r="H472">
        <f t="shared" si="60"/>
        <v>5900000</v>
      </c>
      <c r="I472">
        <f t="shared" si="61"/>
        <v>873700</v>
      </c>
      <c r="J472">
        <f t="shared" si="62"/>
        <v>957200</v>
      </c>
      <c r="K472" s="2">
        <f t="shared" si="63"/>
        <v>0.14808474576271186</v>
      </c>
      <c r="L472" t="str">
        <f t="shared" si="64"/>
        <v>Tier 1</v>
      </c>
    </row>
    <row r="473" spans="1:12" x14ac:dyDescent="0.35">
      <c r="A473" s="1" t="s">
        <v>1586</v>
      </c>
      <c r="B473">
        <v>483</v>
      </c>
      <c r="C473" t="s">
        <v>69</v>
      </c>
      <c r="D473" t="s">
        <v>1587</v>
      </c>
      <c r="E473" t="s">
        <v>22</v>
      </c>
      <c r="F473" t="s">
        <v>1588</v>
      </c>
      <c r="G473" t="s">
        <v>1589</v>
      </c>
      <c r="H473">
        <f t="shared" si="60"/>
        <v>30500000</v>
      </c>
      <c r="I473">
        <f t="shared" si="61"/>
        <v>159100</v>
      </c>
      <c r="J473">
        <f t="shared" si="62"/>
        <v>180900</v>
      </c>
      <c r="K473" s="2">
        <f t="shared" si="63"/>
        <v>5.216393442622951E-3</v>
      </c>
      <c r="L473" t="str">
        <f t="shared" si="64"/>
        <v>Tier 2</v>
      </c>
    </row>
    <row r="474" spans="1:12" x14ac:dyDescent="0.35">
      <c r="A474" s="1" t="s">
        <v>1590</v>
      </c>
      <c r="B474">
        <v>484</v>
      </c>
      <c r="C474" t="s">
        <v>305</v>
      </c>
      <c r="D474" t="s">
        <v>642</v>
      </c>
      <c r="E474" t="s">
        <v>22</v>
      </c>
      <c r="F474" t="s">
        <v>1591</v>
      </c>
      <c r="G474" t="s">
        <v>1592</v>
      </c>
      <c r="H474">
        <f t="shared" si="60"/>
        <v>19100000</v>
      </c>
      <c r="I474">
        <f t="shared" si="61"/>
        <v>186600</v>
      </c>
      <c r="J474">
        <f t="shared" si="62"/>
        <v>288200</v>
      </c>
      <c r="K474" s="2">
        <f t="shared" si="63"/>
        <v>9.7696335078534032E-3</v>
      </c>
      <c r="L474" t="str">
        <f t="shared" si="64"/>
        <v>Tier 2</v>
      </c>
    </row>
    <row r="475" spans="1:12" x14ac:dyDescent="0.35">
      <c r="A475" s="1" t="s">
        <v>1593</v>
      </c>
      <c r="B475">
        <v>485</v>
      </c>
      <c r="C475" t="s">
        <v>1594</v>
      </c>
      <c r="D475" t="s">
        <v>64</v>
      </c>
      <c r="E475" t="s">
        <v>22</v>
      </c>
      <c r="F475" t="s">
        <v>1595</v>
      </c>
      <c r="G475" t="s">
        <v>1596</v>
      </c>
      <c r="H475">
        <f t="shared" si="60"/>
        <v>8300000.0000000009</v>
      </c>
      <c r="I475">
        <f t="shared" si="61"/>
        <v>574900</v>
      </c>
      <c r="J475">
        <f t="shared" si="62"/>
        <v>671600</v>
      </c>
      <c r="K475" s="2">
        <f t="shared" si="63"/>
        <v>6.9265060240963849E-2</v>
      </c>
      <c r="L475" t="str">
        <f t="shared" si="64"/>
        <v>Tier 1</v>
      </c>
    </row>
    <row r="476" spans="1:12" x14ac:dyDescent="0.35">
      <c r="A476" s="1" t="s">
        <v>1597</v>
      </c>
      <c r="B476">
        <v>486</v>
      </c>
      <c r="C476" t="s">
        <v>153</v>
      </c>
      <c r="D476" t="s">
        <v>905</v>
      </c>
      <c r="E476" t="s">
        <v>22</v>
      </c>
      <c r="F476" t="s">
        <v>1598</v>
      </c>
      <c r="G476" t="s">
        <v>1599</v>
      </c>
      <c r="H476">
        <f t="shared" si="60"/>
        <v>14200000</v>
      </c>
      <c r="I476">
        <f t="shared" si="61"/>
        <v>280500</v>
      </c>
      <c r="J476">
        <f t="shared" si="62"/>
        <v>387700</v>
      </c>
      <c r="K476" s="2">
        <f t="shared" si="63"/>
        <v>1.9753521126760563E-2</v>
      </c>
      <c r="L476" t="str">
        <f t="shared" si="64"/>
        <v>Tier 2</v>
      </c>
    </row>
    <row r="477" spans="1:12" x14ac:dyDescent="0.35">
      <c r="A477" s="1" t="s">
        <v>1600</v>
      </c>
      <c r="B477">
        <v>487</v>
      </c>
      <c r="D477" t="s">
        <v>24</v>
      </c>
      <c r="E477" t="s">
        <v>114</v>
      </c>
      <c r="F477" t="s">
        <v>1601</v>
      </c>
      <c r="G477" t="s">
        <v>90</v>
      </c>
      <c r="H477">
        <f t="shared" si="60"/>
        <v>4900000</v>
      </c>
      <c r="I477">
        <f t="shared" si="61"/>
        <v>938500</v>
      </c>
      <c r="J477">
        <f t="shared" si="62"/>
        <v>1100000</v>
      </c>
      <c r="K477" s="2">
        <f t="shared" si="63"/>
        <v>0.19153061224489795</v>
      </c>
      <c r="L477" t="str">
        <f t="shared" si="64"/>
        <v>Tier 1</v>
      </c>
    </row>
    <row r="478" spans="1:12" x14ac:dyDescent="0.35">
      <c r="A478" s="1" t="s">
        <v>1602</v>
      </c>
      <c r="B478">
        <v>488</v>
      </c>
      <c r="C478" t="s">
        <v>364</v>
      </c>
      <c r="D478" t="s">
        <v>1603</v>
      </c>
      <c r="E478" t="s">
        <v>42</v>
      </c>
      <c r="F478" t="s">
        <v>1604</v>
      </c>
      <c r="G478" t="s">
        <v>1605</v>
      </c>
      <c r="H478">
        <f t="shared" si="60"/>
        <v>28400000</v>
      </c>
      <c r="I478">
        <f t="shared" si="61"/>
        <v>121200</v>
      </c>
      <c r="J478">
        <f t="shared" si="62"/>
        <v>192700</v>
      </c>
      <c r="K478" s="2">
        <f t="shared" si="63"/>
        <v>4.2676056338028165E-3</v>
      </c>
      <c r="L478" t="str">
        <f t="shared" si="64"/>
        <v>Tier 2</v>
      </c>
    </row>
    <row r="479" spans="1:12" x14ac:dyDescent="0.35">
      <c r="A479" s="1" t="s">
        <v>1606</v>
      </c>
      <c r="B479">
        <v>489</v>
      </c>
      <c r="C479" t="s">
        <v>8</v>
      </c>
      <c r="D479" t="s">
        <v>382</v>
      </c>
      <c r="E479" t="s">
        <v>10</v>
      </c>
      <c r="F479" t="s">
        <v>1607</v>
      </c>
      <c r="G479" t="s">
        <v>1608</v>
      </c>
      <c r="H479">
        <f t="shared" si="60"/>
        <v>24600000</v>
      </c>
      <c r="I479">
        <f t="shared" si="61"/>
        <v>189900</v>
      </c>
      <c r="J479">
        <f t="shared" si="62"/>
        <v>221400</v>
      </c>
      <c r="K479" s="2">
        <f t="shared" si="63"/>
        <v>7.7195121951219511E-3</v>
      </c>
      <c r="L479" t="str">
        <f t="shared" si="64"/>
        <v>Tier 2</v>
      </c>
    </row>
    <row r="480" spans="1:12" x14ac:dyDescent="0.35">
      <c r="A480" s="1" t="s">
        <v>1609</v>
      </c>
      <c r="B480">
        <v>490</v>
      </c>
      <c r="C480" t="s">
        <v>634</v>
      </c>
      <c r="D480" t="s">
        <v>1610</v>
      </c>
      <c r="E480" t="s">
        <v>1030</v>
      </c>
      <c r="F480" t="s">
        <v>1611</v>
      </c>
      <c r="G480" t="s">
        <v>1612</v>
      </c>
      <c r="H480">
        <f t="shared" si="60"/>
        <v>11400000</v>
      </c>
      <c r="I480">
        <f t="shared" si="61"/>
        <v>373000</v>
      </c>
      <c r="J480">
        <f t="shared" si="62"/>
        <v>482600</v>
      </c>
      <c r="K480" s="2">
        <f t="shared" si="63"/>
        <v>3.2719298245614037E-2</v>
      </c>
      <c r="L480" t="str">
        <f t="shared" si="64"/>
        <v>Tier 2</v>
      </c>
    </row>
    <row r="481" spans="1:12" x14ac:dyDescent="0.35">
      <c r="A481" s="1" t="s">
        <v>1613</v>
      </c>
      <c r="B481">
        <v>491</v>
      </c>
      <c r="C481" t="s">
        <v>1614</v>
      </c>
      <c r="D481" t="s">
        <v>1615</v>
      </c>
      <c r="E481" t="s">
        <v>42</v>
      </c>
      <c r="F481" t="s">
        <v>1375</v>
      </c>
      <c r="G481" t="s">
        <v>1616</v>
      </c>
      <c r="H481">
        <f t="shared" si="60"/>
        <v>11700000</v>
      </c>
      <c r="I481">
        <f t="shared" si="61"/>
        <v>255600</v>
      </c>
      <c r="J481">
        <f t="shared" si="62"/>
        <v>470900</v>
      </c>
      <c r="K481" s="2">
        <f t="shared" si="63"/>
        <v>2.1846153846153845E-2</v>
      </c>
      <c r="L481" t="str">
        <f t="shared" si="64"/>
        <v>Tier 2</v>
      </c>
    </row>
    <row r="482" spans="1:12" x14ac:dyDescent="0.35">
      <c r="A482" s="1" t="s">
        <v>1617</v>
      </c>
      <c r="B482">
        <v>492</v>
      </c>
      <c r="C482" t="s">
        <v>69</v>
      </c>
      <c r="D482" t="s">
        <v>477</v>
      </c>
      <c r="E482" t="s">
        <v>10</v>
      </c>
      <c r="F482" t="s">
        <v>1618</v>
      </c>
      <c r="G482" t="s">
        <v>1619</v>
      </c>
      <c r="H482">
        <f t="shared" si="60"/>
        <v>53000000</v>
      </c>
      <c r="I482">
        <f t="shared" si="61"/>
        <v>85700</v>
      </c>
      <c r="J482">
        <f t="shared" si="62"/>
        <v>103000</v>
      </c>
      <c r="K482" s="2">
        <f t="shared" si="63"/>
        <v>1.6169811320754716E-3</v>
      </c>
      <c r="L482" t="str">
        <f t="shared" si="64"/>
        <v>Tier 3</v>
      </c>
    </row>
    <row r="483" spans="1:12" x14ac:dyDescent="0.35">
      <c r="A483" s="1" t="s">
        <v>1620</v>
      </c>
      <c r="B483">
        <v>493</v>
      </c>
      <c r="C483" t="s">
        <v>8</v>
      </c>
      <c r="D483" t="s">
        <v>802</v>
      </c>
      <c r="E483" t="s">
        <v>519</v>
      </c>
      <c r="F483" t="s">
        <v>1469</v>
      </c>
      <c r="G483" t="s">
        <v>1621</v>
      </c>
      <c r="H483">
        <f t="shared" si="60"/>
        <v>9400000</v>
      </c>
      <c r="I483">
        <f t="shared" si="61"/>
        <v>390500</v>
      </c>
      <c r="J483">
        <f t="shared" si="62"/>
        <v>588000</v>
      </c>
      <c r="K483" s="2">
        <f t="shared" si="63"/>
        <v>4.1542553191489362E-2</v>
      </c>
      <c r="L483" t="str">
        <f t="shared" si="64"/>
        <v>Tier 1</v>
      </c>
    </row>
    <row r="484" spans="1:12" x14ac:dyDescent="0.35">
      <c r="A484" s="1" t="s">
        <v>1622</v>
      </c>
      <c r="B484">
        <v>494</v>
      </c>
      <c r="C484" t="s">
        <v>1623</v>
      </c>
      <c r="D484" t="s">
        <v>1624</v>
      </c>
      <c r="E484" t="s">
        <v>252</v>
      </c>
      <c r="F484" t="s">
        <v>1625</v>
      </c>
      <c r="G484" t="s">
        <v>1626</v>
      </c>
      <c r="H484">
        <f t="shared" si="60"/>
        <v>8600000</v>
      </c>
      <c r="I484">
        <f t="shared" si="61"/>
        <v>368500</v>
      </c>
      <c r="J484">
        <f t="shared" si="62"/>
        <v>638000</v>
      </c>
      <c r="K484" s="2">
        <f t="shared" si="63"/>
        <v>4.2848837209302326E-2</v>
      </c>
      <c r="L484" t="str">
        <f t="shared" si="64"/>
        <v>Tier 1</v>
      </c>
    </row>
    <row r="485" spans="1:12" x14ac:dyDescent="0.35">
      <c r="A485" s="1" t="s">
        <v>1627</v>
      </c>
      <c r="B485">
        <v>495</v>
      </c>
      <c r="C485" t="s">
        <v>8</v>
      </c>
      <c r="D485" t="s">
        <v>1624</v>
      </c>
      <c r="E485" t="s">
        <v>1102</v>
      </c>
      <c r="F485" t="s">
        <v>1628</v>
      </c>
      <c r="G485" t="s">
        <v>1629</v>
      </c>
      <c r="H485">
        <f t="shared" si="60"/>
        <v>8600000</v>
      </c>
      <c r="I485">
        <f t="shared" si="61"/>
        <v>362900</v>
      </c>
      <c r="J485">
        <f t="shared" si="62"/>
        <v>634000</v>
      </c>
      <c r="K485" s="2">
        <f t="shared" si="63"/>
        <v>4.2197674418604648E-2</v>
      </c>
      <c r="L485" t="str">
        <f t="shared" si="64"/>
        <v>Tier 1</v>
      </c>
    </row>
    <row r="486" spans="1:12" x14ac:dyDescent="0.35">
      <c r="A486" s="1" t="s">
        <v>1630</v>
      </c>
      <c r="B486">
        <v>496</v>
      </c>
      <c r="C486" t="s">
        <v>1028</v>
      </c>
      <c r="D486" t="s">
        <v>437</v>
      </c>
      <c r="E486" t="s">
        <v>42</v>
      </c>
      <c r="F486" t="s">
        <v>1631</v>
      </c>
      <c r="G486" t="s">
        <v>1632</v>
      </c>
      <c r="H486">
        <f t="shared" si="60"/>
        <v>19000000</v>
      </c>
      <c r="I486">
        <f t="shared" si="61"/>
        <v>195500</v>
      </c>
      <c r="J486">
        <f t="shared" si="62"/>
        <v>280300</v>
      </c>
      <c r="K486" s="2">
        <f t="shared" si="63"/>
        <v>1.0289473684210527E-2</v>
      </c>
      <c r="L486" t="str">
        <f t="shared" si="64"/>
        <v>Tier 2</v>
      </c>
    </row>
    <row r="487" spans="1:12" x14ac:dyDescent="0.35">
      <c r="A487" s="1" t="s">
        <v>1633</v>
      </c>
      <c r="B487">
        <v>497</v>
      </c>
      <c r="C487" t="s">
        <v>1634</v>
      </c>
      <c r="D487" t="s">
        <v>905</v>
      </c>
      <c r="E487" t="s">
        <v>58</v>
      </c>
      <c r="F487" t="s">
        <v>1635</v>
      </c>
      <c r="G487" t="s">
        <v>1636</v>
      </c>
      <c r="H487">
        <f t="shared" si="60"/>
        <v>14200000</v>
      </c>
      <c r="I487">
        <f t="shared" si="61"/>
        <v>297500</v>
      </c>
      <c r="J487">
        <f t="shared" si="62"/>
        <v>373300</v>
      </c>
      <c r="K487" s="2">
        <f t="shared" si="63"/>
        <v>2.0950704225352113E-2</v>
      </c>
      <c r="L487" t="str">
        <f t="shared" si="64"/>
        <v>Tier 2</v>
      </c>
    </row>
    <row r="488" spans="1:12" x14ac:dyDescent="0.35">
      <c r="A488" s="1" t="s">
        <v>1637</v>
      </c>
      <c r="B488">
        <v>498</v>
      </c>
      <c r="C488" t="s">
        <v>976</v>
      </c>
      <c r="D488" t="s">
        <v>59</v>
      </c>
      <c r="E488" t="s">
        <v>22</v>
      </c>
      <c r="F488" t="s">
        <v>1532</v>
      </c>
      <c r="G488" t="s">
        <v>1638</v>
      </c>
      <c r="H488">
        <f t="shared" si="60"/>
        <v>6300000</v>
      </c>
      <c r="I488">
        <f t="shared" si="61"/>
        <v>488200</v>
      </c>
      <c r="J488">
        <f t="shared" si="62"/>
        <v>859000</v>
      </c>
      <c r="K488" s="2">
        <f t="shared" si="63"/>
        <v>7.7492063492063487E-2</v>
      </c>
      <c r="L488" t="str">
        <f t="shared" si="64"/>
        <v>Tier 1</v>
      </c>
    </row>
    <row r="489" spans="1:12" x14ac:dyDescent="0.35">
      <c r="A489" s="1" t="s">
        <v>1639</v>
      </c>
      <c r="B489">
        <v>499</v>
      </c>
      <c r="C489" t="s">
        <v>590</v>
      </c>
      <c r="D489" t="s">
        <v>1029</v>
      </c>
      <c r="E489" t="s">
        <v>42</v>
      </c>
      <c r="F489" t="s">
        <v>1077</v>
      </c>
      <c r="G489" t="s">
        <v>1640</v>
      </c>
      <c r="H489">
        <f t="shared" si="60"/>
        <v>12800000</v>
      </c>
      <c r="I489">
        <f t="shared" si="61"/>
        <v>274800</v>
      </c>
      <c r="J489">
        <f t="shared" si="62"/>
        <v>412700</v>
      </c>
      <c r="K489" s="2">
        <f t="shared" si="63"/>
        <v>2.1468750000000002E-2</v>
      </c>
      <c r="L489" t="str">
        <f t="shared" si="64"/>
        <v>Tier 2</v>
      </c>
    </row>
    <row r="490" spans="1:12" x14ac:dyDescent="0.35">
      <c r="A490" s="1" t="s">
        <v>1641</v>
      </c>
      <c r="B490">
        <v>500</v>
      </c>
      <c r="C490" t="s">
        <v>8</v>
      </c>
      <c r="D490" t="s">
        <v>1642</v>
      </c>
      <c r="E490" t="s">
        <v>1643</v>
      </c>
      <c r="F490" t="s">
        <v>1644</v>
      </c>
      <c r="G490" t="s">
        <v>1645</v>
      </c>
      <c r="H490">
        <f t="shared" si="60"/>
        <v>33299999.999999996</v>
      </c>
      <c r="I490">
        <f t="shared" si="61"/>
        <v>109200</v>
      </c>
      <c r="J490">
        <f t="shared" si="62"/>
        <v>159400</v>
      </c>
      <c r="K490" s="2">
        <f t="shared" si="63"/>
        <v>3.2792792792792798E-3</v>
      </c>
      <c r="L490" t="str">
        <f t="shared" si="64"/>
        <v>Tier 2</v>
      </c>
    </row>
    <row r="491" spans="1:12" x14ac:dyDescent="0.35">
      <c r="A491" s="1" t="s">
        <v>1646</v>
      </c>
      <c r="B491">
        <v>501</v>
      </c>
      <c r="C491" t="s">
        <v>26</v>
      </c>
      <c r="D491" t="s">
        <v>371</v>
      </c>
      <c r="E491" t="s">
        <v>58</v>
      </c>
      <c r="F491" t="s">
        <v>1647</v>
      </c>
      <c r="G491" t="s">
        <v>1648</v>
      </c>
      <c r="H491">
        <f t="shared" si="60"/>
        <v>14300000</v>
      </c>
      <c r="I491">
        <f t="shared" si="61"/>
        <v>316600</v>
      </c>
      <c r="J491">
        <f t="shared" si="62"/>
        <v>374600</v>
      </c>
      <c r="K491" s="2">
        <f t="shared" si="63"/>
        <v>2.2139860139860138E-2</v>
      </c>
      <c r="L491" t="str">
        <f t="shared" si="64"/>
        <v>Tier 2</v>
      </c>
    </row>
    <row r="492" spans="1:12" x14ac:dyDescent="0.35">
      <c r="A492" s="1" t="s">
        <v>1649</v>
      </c>
      <c r="B492">
        <v>502</v>
      </c>
      <c r="C492" t="s">
        <v>157</v>
      </c>
      <c r="D492" t="s">
        <v>651</v>
      </c>
      <c r="E492" t="s">
        <v>58</v>
      </c>
      <c r="F492" t="s">
        <v>1650</v>
      </c>
      <c r="G492" t="s">
        <v>1651</v>
      </c>
      <c r="H492">
        <f t="shared" si="60"/>
        <v>10300000</v>
      </c>
      <c r="I492">
        <f t="shared" si="61"/>
        <v>393900</v>
      </c>
      <c r="J492">
        <f t="shared" si="62"/>
        <v>510700</v>
      </c>
      <c r="K492" s="2">
        <f t="shared" si="63"/>
        <v>3.8242718446601945E-2</v>
      </c>
      <c r="L492" t="str">
        <f t="shared" si="64"/>
        <v>Tier 2</v>
      </c>
    </row>
    <row r="493" spans="1:12" x14ac:dyDescent="0.35">
      <c r="A493" s="1" t="s">
        <v>1652</v>
      </c>
      <c r="B493">
        <v>503</v>
      </c>
      <c r="C493" t="s">
        <v>76</v>
      </c>
      <c r="D493" t="s">
        <v>673</v>
      </c>
      <c r="E493" t="s">
        <v>42</v>
      </c>
      <c r="F493" t="s">
        <v>1653</v>
      </c>
      <c r="G493" t="s">
        <v>1654</v>
      </c>
      <c r="H493">
        <f t="shared" si="60"/>
        <v>25700000</v>
      </c>
      <c r="I493">
        <f t="shared" si="61"/>
        <v>137500</v>
      </c>
      <c r="J493">
        <f t="shared" si="62"/>
        <v>207400</v>
      </c>
      <c r="K493" s="2">
        <f t="shared" si="63"/>
        <v>5.350194552529183E-3</v>
      </c>
      <c r="L493" t="str">
        <f t="shared" si="64"/>
        <v>Tier 2</v>
      </c>
    </row>
    <row r="494" spans="1:12" x14ac:dyDescent="0.35">
      <c r="A494" s="1" t="s">
        <v>1655</v>
      </c>
      <c r="B494">
        <v>504</v>
      </c>
      <c r="C494" t="s">
        <v>8</v>
      </c>
      <c r="D494" t="s">
        <v>699</v>
      </c>
      <c r="E494" t="s">
        <v>10</v>
      </c>
      <c r="F494" t="s">
        <v>1656</v>
      </c>
      <c r="G494" t="s">
        <v>1657</v>
      </c>
      <c r="H494">
        <f t="shared" si="60"/>
        <v>12300000</v>
      </c>
      <c r="I494">
        <f t="shared" si="61"/>
        <v>366100</v>
      </c>
      <c r="J494">
        <f t="shared" si="62"/>
        <v>427100</v>
      </c>
      <c r="K494" s="2">
        <f t="shared" si="63"/>
        <v>2.9764227642276424E-2</v>
      </c>
      <c r="L494" t="str">
        <f t="shared" si="64"/>
        <v>Tier 2</v>
      </c>
    </row>
    <row r="495" spans="1:12" x14ac:dyDescent="0.35">
      <c r="A495" s="1" t="s">
        <v>1658</v>
      </c>
      <c r="B495">
        <v>505</v>
      </c>
      <c r="C495" t="s">
        <v>1659</v>
      </c>
      <c r="D495" t="s">
        <v>821</v>
      </c>
      <c r="E495" t="s">
        <v>519</v>
      </c>
      <c r="F495" t="s">
        <v>1660</v>
      </c>
      <c r="G495" t="s">
        <v>1661</v>
      </c>
      <c r="H495">
        <f t="shared" si="60"/>
        <v>15200000</v>
      </c>
      <c r="I495">
        <f t="shared" si="61"/>
        <v>231400</v>
      </c>
      <c r="J495">
        <f t="shared" si="62"/>
        <v>366400</v>
      </c>
      <c r="K495" s="2">
        <f t="shared" si="63"/>
        <v>1.5223684210526316E-2</v>
      </c>
      <c r="L495" t="str">
        <f t="shared" si="64"/>
        <v>Tier 2</v>
      </c>
    </row>
    <row r="496" spans="1:12" x14ac:dyDescent="0.35">
      <c r="A496" s="1" t="s">
        <v>1662</v>
      </c>
      <c r="B496">
        <v>506</v>
      </c>
      <c r="C496" t="s">
        <v>1663</v>
      </c>
      <c r="D496" t="s">
        <v>1509</v>
      </c>
      <c r="E496" t="s">
        <v>22</v>
      </c>
      <c r="F496" t="s">
        <v>1664</v>
      </c>
      <c r="G496" t="s">
        <v>1665</v>
      </c>
      <c r="H496">
        <f t="shared" si="60"/>
        <v>7100000</v>
      </c>
      <c r="I496">
        <f t="shared" si="61"/>
        <v>556400</v>
      </c>
      <c r="J496">
        <f t="shared" si="62"/>
        <v>744300</v>
      </c>
      <c r="K496" s="2">
        <f t="shared" si="63"/>
        <v>7.836619718309859E-2</v>
      </c>
      <c r="L496" t="str">
        <f t="shared" si="64"/>
        <v>Tier 1</v>
      </c>
    </row>
    <row r="497" spans="1:12" x14ac:dyDescent="0.35">
      <c r="A497" s="1" t="s">
        <v>1666</v>
      </c>
      <c r="B497">
        <v>507</v>
      </c>
      <c r="C497" t="s">
        <v>572</v>
      </c>
      <c r="D497" t="s">
        <v>1039</v>
      </c>
      <c r="E497" t="s">
        <v>10</v>
      </c>
      <c r="F497" t="s">
        <v>1667</v>
      </c>
      <c r="G497" t="s">
        <v>1668</v>
      </c>
      <c r="H497">
        <f t="shared" si="60"/>
        <v>18400000</v>
      </c>
      <c r="I497">
        <f t="shared" si="61"/>
        <v>245300</v>
      </c>
      <c r="J497">
        <f t="shared" si="62"/>
        <v>283600</v>
      </c>
      <c r="K497" s="2">
        <f t="shared" si="63"/>
        <v>1.3331521739130435E-2</v>
      </c>
      <c r="L497" t="str">
        <f t="shared" si="64"/>
        <v>Tier 2</v>
      </c>
    </row>
    <row r="498" spans="1:12" x14ac:dyDescent="0.35">
      <c r="A498" s="1" t="s">
        <v>1669</v>
      </c>
      <c r="B498">
        <v>508</v>
      </c>
      <c r="C498" t="s">
        <v>69</v>
      </c>
      <c r="D498" t="s">
        <v>1670</v>
      </c>
      <c r="E498" t="s">
        <v>10</v>
      </c>
      <c r="F498" t="s">
        <v>1671</v>
      </c>
      <c r="G498" t="s">
        <v>1672</v>
      </c>
      <c r="H498">
        <f t="shared" si="60"/>
        <v>29300000</v>
      </c>
      <c r="I498">
        <f t="shared" si="61"/>
        <v>145700</v>
      </c>
      <c r="J498">
        <f t="shared" si="62"/>
        <v>177900</v>
      </c>
      <c r="K498" s="2">
        <f t="shared" si="63"/>
        <v>4.9726962457337888E-3</v>
      </c>
      <c r="L498" t="str">
        <f t="shared" si="64"/>
        <v>Tier 2</v>
      </c>
    </row>
    <row r="499" spans="1:12" x14ac:dyDescent="0.35">
      <c r="A499" s="1" t="s">
        <v>1673</v>
      </c>
      <c r="B499">
        <v>509</v>
      </c>
      <c r="C499" t="s">
        <v>69</v>
      </c>
      <c r="D499" t="s">
        <v>913</v>
      </c>
      <c r="E499" t="s">
        <v>22</v>
      </c>
      <c r="F499" t="s">
        <v>1674</v>
      </c>
      <c r="G499" t="s">
        <v>1675</v>
      </c>
      <c r="H499">
        <f t="shared" si="60"/>
        <v>13100000</v>
      </c>
      <c r="I499">
        <f t="shared" si="61"/>
        <v>275900</v>
      </c>
      <c r="J499">
        <f t="shared" si="62"/>
        <v>391800</v>
      </c>
      <c r="K499" s="2">
        <f t="shared" si="63"/>
        <v>2.1061068702290076E-2</v>
      </c>
      <c r="L499" t="str">
        <f t="shared" si="64"/>
        <v>Tier 2</v>
      </c>
    </row>
    <row r="500" spans="1:12" x14ac:dyDescent="0.35">
      <c r="A500" s="1" t="s">
        <v>1676</v>
      </c>
      <c r="B500">
        <v>510</v>
      </c>
      <c r="C500" t="s">
        <v>8</v>
      </c>
      <c r="D500" t="s">
        <v>1677</v>
      </c>
      <c r="E500" t="s">
        <v>279</v>
      </c>
      <c r="F500" t="s">
        <v>1678</v>
      </c>
      <c r="G500" t="s">
        <v>1679</v>
      </c>
      <c r="H500">
        <f t="shared" si="60"/>
        <v>24900000</v>
      </c>
      <c r="I500">
        <f t="shared" si="61"/>
        <v>142100</v>
      </c>
      <c r="J500">
        <f t="shared" si="62"/>
        <v>205900</v>
      </c>
      <c r="K500" s="2">
        <f t="shared" si="63"/>
        <v>5.7068273092369479E-3</v>
      </c>
      <c r="L500" t="str">
        <f t="shared" si="64"/>
        <v>Tier 2</v>
      </c>
    </row>
    <row r="501" spans="1:12" x14ac:dyDescent="0.35">
      <c r="A501" s="1" t="s">
        <v>1680</v>
      </c>
      <c r="B501">
        <v>511</v>
      </c>
      <c r="C501" t="s">
        <v>26</v>
      </c>
      <c r="D501" t="s">
        <v>1681</v>
      </c>
      <c r="E501" t="s">
        <v>58</v>
      </c>
      <c r="F501" t="s">
        <v>1682</v>
      </c>
      <c r="G501" t="s">
        <v>1683</v>
      </c>
      <c r="H501">
        <f t="shared" si="60"/>
        <v>8800000</v>
      </c>
      <c r="I501">
        <f t="shared" si="61"/>
        <v>528200</v>
      </c>
      <c r="J501">
        <f t="shared" si="62"/>
        <v>585100</v>
      </c>
      <c r="K501" s="2">
        <f t="shared" si="63"/>
        <v>6.0022727272727269E-2</v>
      </c>
      <c r="L501" t="str">
        <f t="shared" si="64"/>
        <v>Tier 1</v>
      </c>
    </row>
    <row r="502" spans="1:12" x14ac:dyDescent="0.35">
      <c r="A502" s="1" t="s">
        <v>1684</v>
      </c>
      <c r="B502">
        <v>512</v>
      </c>
      <c r="C502" t="s">
        <v>76</v>
      </c>
      <c r="D502" t="s">
        <v>738</v>
      </c>
      <c r="E502" t="s">
        <v>42</v>
      </c>
      <c r="F502" t="s">
        <v>1685</v>
      </c>
      <c r="G502" t="s">
        <v>1686</v>
      </c>
      <c r="H502">
        <f t="shared" si="60"/>
        <v>19800000</v>
      </c>
      <c r="I502">
        <f t="shared" si="61"/>
        <v>116900</v>
      </c>
      <c r="J502">
        <f t="shared" si="62"/>
        <v>258700</v>
      </c>
      <c r="K502" s="2">
        <f t="shared" si="63"/>
        <v>5.9040404040404037E-3</v>
      </c>
      <c r="L502" t="str">
        <f t="shared" si="64"/>
        <v>Tier 2</v>
      </c>
    </row>
    <row r="503" spans="1:12" x14ac:dyDescent="0.35">
      <c r="A503" s="1" t="s">
        <v>1687</v>
      </c>
      <c r="B503">
        <v>513</v>
      </c>
      <c r="C503" t="s">
        <v>76</v>
      </c>
      <c r="D503" t="s">
        <v>142</v>
      </c>
      <c r="E503" t="s">
        <v>114</v>
      </c>
      <c r="F503" t="s">
        <v>47</v>
      </c>
      <c r="G503" t="s">
        <v>52</v>
      </c>
      <c r="H503">
        <f t="shared" si="60"/>
        <v>3700000</v>
      </c>
      <c r="I503">
        <f t="shared" si="61"/>
        <v>1200000</v>
      </c>
      <c r="J503">
        <f t="shared" si="62"/>
        <v>1400000</v>
      </c>
      <c r="K503" s="2">
        <f t="shared" si="63"/>
        <v>0.32432432432432434</v>
      </c>
      <c r="L503" t="str">
        <f t="shared" si="64"/>
        <v>Tier 1</v>
      </c>
    </row>
    <row r="504" spans="1:12" x14ac:dyDescent="0.35">
      <c r="A504" s="1" t="s">
        <v>1688</v>
      </c>
      <c r="B504">
        <v>514</v>
      </c>
      <c r="C504" t="s">
        <v>979</v>
      </c>
      <c r="D504" t="s">
        <v>778</v>
      </c>
      <c r="E504" t="s">
        <v>195</v>
      </c>
      <c r="F504" t="s">
        <v>1689</v>
      </c>
      <c r="G504" t="s">
        <v>1690</v>
      </c>
      <c r="H504">
        <f t="shared" si="60"/>
        <v>23500000</v>
      </c>
      <c r="I504">
        <f t="shared" si="61"/>
        <v>149100</v>
      </c>
      <c r="J504">
        <f t="shared" si="62"/>
        <v>215100</v>
      </c>
      <c r="K504" s="2">
        <f t="shared" si="63"/>
        <v>6.3446808510638298E-3</v>
      </c>
      <c r="L504" t="str">
        <f t="shared" si="64"/>
        <v>Tier 2</v>
      </c>
    </row>
    <row r="505" spans="1:12" x14ac:dyDescent="0.35">
      <c r="A505" s="1" t="s">
        <v>1691</v>
      </c>
      <c r="B505">
        <v>515</v>
      </c>
      <c r="C505" t="s">
        <v>76</v>
      </c>
      <c r="D505" t="s">
        <v>311</v>
      </c>
      <c r="E505" t="s">
        <v>42</v>
      </c>
      <c r="F505" t="s">
        <v>1692</v>
      </c>
      <c r="G505" t="s">
        <v>1541</v>
      </c>
      <c r="H505">
        <f t="shared" si="60"/>
        <v>14400000</v>
      </c>
      <c r="I505">
        <f t="shared" si="61"/>
        <v>164700</v>
      </c>
      <c r="J505">
        <f t="shared" si="62"/>
        <v>352900</v>
      </c>
      <c r="K505" s="2">
        <f t="shared" si="63"/>
        <v>1.14375E-2</v>
      </c>
      <c r="L505" t="str">
        <f t="shared" si="64"/>
        <v>Tier 2</v>
      </c>
    </row>
    <row r="506" spans="1:12" x14ac:dyDescent="0.35">
      <c r="A506" s="1" t="s">
        <v>1693</v>
      </c>
      <c r="B506">
        <v>516</v>
      </c>
      <c r="C506" t="s">
        <v>1694</v>
      </c>
      <c r="D506" t="s">
        <v>1695</v>
      </c>
      <c r="E506" t="s">
        <v>58</v>
      </c>
      <c r="F506" t="s">
        <v>1696</v>
      </c>
      <c r="G506" t="s">
        <v>1697</v>
      </c>
      <c r="H506">
        <f t="shared" si="60"/>
        <v>47400000</v>
      </c>
      <c r="I506">
        <f t="shared" si="61"/>
        <v>87300</v>
      </c>
      <c r="J506">
        <f t="shared" si="62"/>
        <v>107200</v>
      </c>
      <c r="K506" s="2">
        <f t="shared" si="63"/>
        <v>1.8417721518987342E-3</v>
      </c>
      <c r="L506" t="str">
        <f t="shared" si="64"/>
        <v>Tier 2</v>
      </c>
    </row>
    <row r="507" spans="1:12" x14ac:dyDescent="0.35">
      <c r="A507" s="1" t="s">
        <v>1698</v>
      </c>
      <c r="B507">
        <v>517</v>
      </c>
      <c r="C507" t="s">
        <v>615</v>
      </c>
      <c r="D507" t="s">
        <v>1699</v>
      </c>
      <c r="E507" t="s">
        <v>265</v>
      </c>
      <c r="F507" t="s">
        <v>1700</v>
      </c>
      <c r="G507" t="s">
        <v>1701</v>
      </c>
      <c r="H507">
        <f t="shared" si="60"/>
        <v>46900000</v>
      </c>
      <c r="I507">
        <f t="shared" si="61"/>
        <v>73600</v>
      </c>
      <c r="J507">
        <f t="shared" si="62"/>
        <v>108600</v>
      </c>
      <c r="K507" s="2">
        <f t="shared" si="63"/>
        <v>1.5692963752665244E-3</v>
      </c>
      <c r="L507" t="str">
        <f t="shared" si="64"/>
        <v>Tier 2</v>
      </c>
    </row>
    <row r="508" spans="1:12" x14ac:dyDescent="0.35">
      <c r="A508" s="1" t="s">
        <v>1702</v>
      </c>
      <c r="B508">
        <v>518</v>
      </c>
      <c r="C508" t="s">
        <v>445</v>
      </c>
      <c r="D508" t="s">
        <v>1703</v>
      </c>
      <c r="E508" t="s">
        <v>22</v>
      </c>
      <c r="F508" t="s">
        <v>1704</v>
      </c>
      <c r="G508" t="s">
        <v>1705</v>
      </c>
      <c r="H508">
        <f t="shared" si="60"/>
        <v>25900000</v>
      </c>
      <c r="I508">
        <f t="shared" si="61"/>
        <v>165200</v>
      </c>
      <c r="J508">
        <f t="shared" si="62"/>
        <v>195400</v>
      </c>
      <c r="K508" s="2">
        <f t="shared" si="63"/>
        <v>6.3783783783783786E-3</v>
      </c>
      <c r="L508" t="str">
        <f t="shared" si="64"/>
        <v>Tier 2</v>
      </c>
    </row>
    <row r="509" spans="1:12" x14ac:dyDescent="0.35">
      <c r="A509" s="1" t="s">
        <v>1706</v>
      </c>
      <c r="B509">
        <v>519</v>
      </c>
      <c r="C509" t="s">
        <v>546</v>
      </c>
      <c r="D509" t="s">
        <v>649</v>
      </c>
      <c r="E509" t="s">
        <v>42</v>
      </c>
      <c r="F509" t="s">
        <v>1707</v>
      </c>
      <c r="G509" t="s">
        <v>1708</v>
      </c>
      <c r="H509">
        <f t="shared" si="60"/>
        <v>10700000</v>
      </c>
      <c r="I509">
        <f t="shared" si="61"/>
        <v>372200</v>
      </c>
      <c r="J509">
        <f t="shared" si="62"/>
        <v>474100</v>
      </c>
      <c r="K509" s="2">
        <f t="shared" si="63"/>
        <v>3.4785046728971959E-2</v>
      </c>
      <c r="L509" t="str">
        <f t="shared" si="64"/>
        <v>Tier 2</v>
      </c>
    </row>
    <row r="510" spans="1:12" x14ac:dyDescent="0.35">
      <c r="A510" s="1" t="s">
        <v>1709</v>
      </c>
      <c r="B510">
        <v>520</v>
      </c>
      <c r="C510" t="s">
        <v>590</v>
      </c>
      <c r="D510" t="s">
        <v>1710</v>
      </c>
      <c r="E510" t="s">
        <v>584</v>
      </c>
      <c r="F510" t="s">
        <v>1711</v>
      </c>
      <c r="G510" t="s">
        <v>1712</v>
      </c>
      <c r="H510">
        <f t="shared" ref="H510:H533" si="65">IF(RIGHT(D510,1)="M", VALUE(SUBSTITUTE(D510,"M",""))*1000000, VALUE(SUBSTITUTE(D510,"K",""))*1000)</f>
        <v>20100000</v>
      </c>
      <c r="I510">
        <f t="shared" ref="I510:I533" si="66">IF(RIGHT(F510,1)="M", VALUE(SUBSTITUTE(F510,"M",""))*1000000, VALUE(SUBSTITUTE(F510,"K",""))*1000)</f>
        <v>204100</v>
      </c>
      <c r="J510">
        <f t="shared" ref="J510:J533" si="67">IF(RIGHT(G510,1)="M", VALUE(SUBSTITUTE(G510,"M",""))*1000000, VALUE(SUBSTITUTE(G510,"K",""))*1000)</f>
        <v>250700</v>
      </c>
      <c r="K510" s="2">
        <f t="shared" ref="K510:K533" si="68">I510/H510</f>
        <v>1.0154228855721393E-2</v>
      </c>
      <c r="L510" t="str">
        <f t="shared" ref="L510:L533" si="69">IF(H510&lt;10000000,"Tier 1",
 IF(H510&lt;50000000,"Tier 2",
 IF(H510&lt;100000000,"Tier 3",
 "Tier 4")))</f>
        <v>Tier 2</v>
      </c>
    </row>
    <row r="511" spans="1:12" x14ac:dyDescent="0.35">
      <c r="A511" s="1" t="s">
        <v>1713</v>
      </c>
      <c r="B511">
        <v>521</v>
      </c>
      <c r="C511" t="s">
        <v>69</v>
      </c>
      <c r="D511" t="s">
        <v>1714</v>
      </c>
      <c r="E511" t="s">
        <v>22</v>
      </c>
      <c r="F511" t="s">
        <v>1715</v>
      </c>
      <c r="G511" t="s">
        <v>1716</v>
      </c>
      <c r="H511">
        <f t="shared" si="65"/>
        <v>9200000</v>
      </c>
      <c r="I511">
        <f t="shared" si="66"/>
        <v>351000</v>
      </c>
      <c r="J511">
        <f t="shared" si="67"/>
        <v>551100</v>
      </c>
      <c r="K511" s="2">
        <f t="shared" si="68"/>
        <v>3.8152173913043479E-2</v>
      </c>
      <c r="L511" t="str">
        <f t="shared" si="69"/>
        <v>Tier 1</v>
      </c>
    </row>
    <row r="512" spans="1:12" x14ac:dyDescent="0.35">
      <c r="A512" s="1" t="s">
        <v>1717</v>
      </c>
      <c r="B512">
        <v>522</v>
      </c>
      <c r="C512" t="s">
        <v>26</v>
      </c>
      <c r="D512" t="s">
        <v>807</v>
      </c>
      <c r="E512" t="s">
        <v>42</v>
      </c>
      <c r="F512" t="s">
        <v>1718</v>
      </c>
      <c r="G512" t="s">
        <v>1719</v>
      </c>
      <c r="H512">
        <f t="shared" si="65"/>
        <v>12900000</v>
      </c>
      <c r="I512">
        <f t="shared" si="66"/>
        <v>213200</v>
      </c>
      <c r="J512">
        <f t="shared" si="67"/>
        <v>386600</v>
      </c>
      <c r="K512" s="2">
        <f t="shared" si="68"/>
        <v>1.6527131782945736E-2</v>
      </c>
      <c r="L512" t="str">
        <f t="shared" si="69"/>
        <v>Tier 2</v>
      </c>
    </row>
    <row r="513" spans="1:12" x14ac:dyDescent="0.35">
      <c r="A513" s="1" t="s">
        <v>1720</v>
      </c>
      <c r="B513">
        <v>523</v>
      </c>
      <c r="C513" t="s">
        <v>1721</v>
      </c>
      <c r="D513" t="s">
        <v>1681</v>
      </c>
      <c r="E513" t="s">
        <v>584</v>
      </c>
      <c r="F513" t="s">
        <v>1722</v>
      </c>
      <c r="G513" t="s">
        <v>1723</v>
      </c>
      <c r="H513">
        <f t="shared" si="65"/>
        <v>8800000</v>
      </c>
      <c r="I513">
        <f t="shared" si="66"/>
        <v>424600</v>
      </c>
      <c r="J513">
        <f t="shared" si="67"/>
        <v>577900</v>
      </c>
      <c r="K513" s="2">
        <f t="shared" si="68"/>
        <v>4.8250000000000001E-2</v>
      </c>
      <c r="L513" t="str">
        <f t="shared" si="69"/>
        <v>Tier 1</v>
      </c>
    </row>
    <row r="514" spans="1:12" x14ac:dyDescent="0.35">
      <c r="A514" s="1" t="s">
        <v>1724</v>
      </c>
      <c r="B514">
        <v>524</v>
      </c>
      <c r="C514" t="s">
        <v>26</v>
      </c>
      <c r="D514" t="s">
        <v>1316</v>
      </c>
      <c r="E514" t="s">
        <v>16</v>
      </c>
      <c r="F514" t="s">
        <v>1725</v>
      </c>
      <c r="G514" t="s">
        <v>1726</v>
      </c>
      <c r="H514">
        <f t="shared" si="65"/>
        <v>7900000</v>
      </c>
      <c r="I514">
        <f t="shared" si="66"/>
        <v>485700</v>
      </c>
      <c r="J514">
        <f t="shared" si="67"/>
        <v>640400</v>
      </c>
      <c r="K514" s="2">
        <f t="shared" si="68"/>
        <v>6.1481012658227849E-2</v>
      </c>
      <c r="L514" t="str">
        <f t="shared" si="69"/>
        <v>Tier 1</v>
      </c>
    </row>
    <row r="515" spans="1:12" x14ac:dyDescent="0.35">
      <c r="A515" s="1" t="s">
        <v>1727</v>
      </c>
      <c r="B515">
        <v>525</v>
      </c>
      <c r="C515" t="s">
        <v>26</v>
      </c>
      <c r="D515" t="s">
        <v>671</v>
      </c>
      <c r="E515" t="s">
        <v>22</v>
      </c>
      <c r="F515" t="s">
        <v>891</v>
      </c>
      <c r="G515" t="s">
        <v>1728</v>
      </c>
      <c r="H515">
        <f t="shared" si="65"/>
        <v>13500000</v>
      </c>
      <c r="I515">
        <f t="shared" si="66"/>
        <v>210600</v>
      </c>
      <c r="J515">
        <f t="shared" si="67"/>
        <v>370600</v>
      </c>
      <c r="K515" s="2">
        <f t="shared" si="68"/>
        <v>1.5599999999999999E-2</v>
      </c>
      <c r="L515" t="str">
        <f t="shared" si="69"/>
        <v>Tier 2</v>
      </c>
    </row>
    <row r="516" spans="1:12" x14ac:dyDescent="0.35">
      <c r="A516" s="1" t="s">
        <v>1729</v>
      </c>
      <c r="B516">
        <v>526</v>
      </c>
      <c r="C516" t="s">
        <v>69</v>
      </c>
      <c r="D516" t="s">
        <v>518</v>
      </c>
      <c r="E516" t="s">
        <v>10</v>
      </c>
      <c r="F516" t="s">
        <v>1730</v>
      </c>
      <c r="G516" t="s">
        <v>1731</v>
      </c>
      <c r="H516">
        <f t="shared" si="65"/>
        <v>30700000</v>
      </c>
      <c r="I516">
        <f t="shared" si="66"/>
        <v>141400</v>
      </c>
      <c r="J516">
        <f t="shared" si="67"/>
        <v>162600</v>
      </c>
      <c r="K516" s="2">
        <f t="shared" si="68"/>
        <v>4.6058631921824106E-3</v>
      </c>
      <c r="L516" t="str">
        <f t="shared" si="69"/>
        <v>Tier 2</v>
      </c>
    </row>
    <row r="517" spans="1:12" x14ac:dyDescent="0.35">
      <c r="A517" s="1" t="s">
        <v>1732</v>
      </c>
      <c r="B517">
        <v>527</v>
      </c>
      <c r="C517" t="s">
        <v>26</v>
      </c>
      <c r="D517" t="s">
        <v>60</v>
      </c>
      <c r="E517" t="s">
        <v>22</v>
      </c>
      <c r="F517" t="s">
        <v>1733</v>
      </c>
      <c r="G517" t="s">
        <v>668</v>
      </c>
      <c r="H517">
        <f t="shared" si="65"/>
        <v>7300000</v>
      </c>
      <c r="I517">
        <f t="shared" si="66"/>
        <v>501700</v>
      </c>
      <c r="J517">
        <f t="shared" si="67"/>
        <v>694600</v>
      </c>
      <c r="K517" s="2">
        <f t="shared" si="68"/>
        <v>6.8726027397260275E-2</v>
      </c>
      <c r="L517" t="str">
        <f t="shared" si="69"/>
        <v>Tier 1</v>
      </c>
    </row>
    <row r="518" spans="1:12" x14ac:dyDescent="0.35">
      <c r="A518" s="1" t="s">
        <v>1734</v>
      </c>
      <c r="B518">
        <v>528</v>
      </c>
      <c r="C518" t="s">
        <v>1735</v>
      </c>
      <c r="D518" t="s">
        <v>1736</v>
      </c>
      <c r="E518" t="s">
        <v>42</v>
      </c>
      <c r="F518" t="s">
        <v>1737</v>
      </c>
      <c r="G518" t="s">
        <v>1738</v>
      </c>
      <c r="H518">
        <f t="shared" si="65"/>
        <v>53600000</v>
      </c>
      <c r="I518">
        <f t="shared" si="66"/>
        <v>58900</v>
      </c>
      <c r="J518">
        <f t="shared" si="67"/>
        <v>93300</v>
      </c>
      <c r="K518" s="2">
        <f t="shared" si="68"/>
        <v>1.0988805970149253E-3</v>
      </c>
      <c r="L518" t="str">
        <f t="shared" si="69"/>
        <v>Tier 3</v>
      </c>
    </row>
    <row r="519" spans="1:12" x14ac:dyDescent="0.35">
      <c r="A519" s="1" t="s">
        <v>1739</v>
      </c>
      <c r="B519">
        <v>529</v>
      </c>
      <c r="C519" t="s">
        <v>69</v>
      </c>
      <c r="D519" t="s">
        <v>778</v>
      </c>
      <c r="E519" t="s">
        <v>42</v>
      </c>
      <c r="F519" t="s">
        <v>1740</v>
      </c>
      <c r="G519" t="s">
        <v>891</v>
      </c>
      <c r="H519">
        <f t="shared" si="65"/>
        <v>23500000</v>
      </c>
      <c r="I519">
        <f t="shared" si="66"/>
        <v>112100</v>
      </c>
      <c r="J519">
        <f t="shared" si="67"/>
        <v>210600</v>
      </c>
      <c r="K519" s="2">
        <f t="shared" si="68"/>
        <v>4.770212765957447E-3</v>
      </c>
      <c r="L519" t="str">
        <f t="shared" si="69"/>
        <v>Tier 2</v>
      </c>
    </row>
    <row r="520" spans="1:12" x14ac:dyDescent="0.35">
      <c r="A520" s="1" t="s">
        <v>1741</v>
      </c>
      <c r="B520">
        <v>530</v>
      </c>
      <c r="C520" t="s">
        <v>8</v>
      </c>
      <c r="D520" t="s">
        <v>1517</v>
      </c>
      <c r="E520" t="s">
        <v>42</v>
      </c>
      <c r="F520" t="s">
        <v>478</v>
      </c>
      <c r="G520" t="s">
        <v>797</v>
      </c>
      <c r="H520">
        <f t="shared" si="65"/>
        <v>7400000</v>
      </c>
      <c r="I520">
        <f t="shared" si="66"/>
        <v>417300</v>
      </c>
      <c r="J520">
        <f t="shared" si="67"/>
        <v>678800</v>
      </c>
      <c r="K520" s="2">
        <f t="shared" si="68"/>
        <v>5.6391891891891893E-2</v>
      </c>
      <c r="L520" t="str">
        <f t="shared" si="69"/>
        <v>Tier 1</v>
      </c>
    </row>
    <row r="521" spans="1:12" x14ac:dyDescent="0.35">
      <c r="A521" s="1" t="s">
        <v>1742</v>
      </c>
      <c r="B521">
        <v>531</v>
      </c>
      <c r="C521" t="s">
        <v>26</v>
      </c>
      <c r="D521" t="s">
        <v>382</v>
      </c>
      <c r="E521" t="s">
        <v>1743</v>
      </c>
      <c r="F521" t="s">
        <v>1744</v>
      </c>
      <c r="G521" t="s">
        <v>1745</v>
      </c>
      <c r="H521">
        <f t="shared" si="65"/>
        <v>24600000</v>
      </c>
      <c r="I521">
        <f t="shared" si="66"/>
        <v>148400</v>
      </c>
      <c r="J521">
        <f t="shared" si="67"/>
        <v>206500</v>
      </c>
      <c r="K521" s="2">
        <f t="shared" si="68"/>
        <v>6.0325203252032519E-3</v>
      </c>
      <c r="L521" t="str">
        <f t="shared" si="69"/>
        <v>Tier 2</v>
      </c>
    </row>
    <row r="522" spans="1:12" x14ac:dyDescent="0.35">
      <c r="A522" s="1" t="s">
        <v>1746</v>
      </c>
      <c r="B522">
        <v>532</v>
      </c>
      <c r="C522" t="s">
        <v>69</v>
      </c>
      <c r="D522" t="s">
        <v>1747</v>
      </c>
      <c r="E522" t="s">
        <v>22</v>
      </c>
      <c r="F522" t="s">
        <v>1748</v>
      </c>
      <c r="G522" t="s">
        <v>1749</v>
      </c>
      <c r="H522">
        <f t="shared" si="65"/>
        <v>54200000</v>
      </c>
      <c r="I522">
        <f t="shared" si="66"/>
        <v>74300</v>
      </c>
      <c r="J522">
        <f t="shared" si="67"/>
        <v>91100</v>
      </c>
      <c r="K522" s="2">
        <f t="shared" si="68"/>
        <v>1.3708487084870848E-3</v>
      </c>
      <c r="L522" t="str">
        <f t="shared" si="69"/>
        <v>Tier 3</v>
      </c>
    </row>
    <row r="523" spans="1:12" x14ac:dyDescent="0.35">
      <c r="A523" s="1" t="s">
        <v>1750</v>
      </c>
      <c r="B523">
        <v>533</v>
      </c>
      <c r="C523" t="s">
        <v>1751</v>
      </c>
      <c r="D523" t="s">
        <v>1051</v>
      </c>
      <c r="E523" t="s">
        <v>799</v>
      </c>
      <c r="F523" t="s">
        <v>1320</v>
      </c>
      <c r="G523" t="s">
        <v>1752</v>
      </c>
      <c r="H523">
        <f t="shared" si="65"/>
        <v>17300000</v>
      </c>
      <c r="I523">
        <f t="shared" si="66"/>
        <v>233700</v>
      </c>
      <c r="J523">
        <f t="shared" si="67"/>
        <v>282100</v>
      </c>
      <c r="K523" s="2">
        <f t="shared" si="68"/>
        <v>1.3508670520231214E-2</v>
      </c>
      <c r="L523" t="str">
        <f t="shared" si="69"/>
        <v>Tier 2</v>
      </c>
    </row>
    <row r="524" spans="1:12" x14ac:dyDescent="0.35">
      <c r="A524" s="1" t="s">
        <v>1753</v>
      </c>
      <c r="B524">
        <v>534</v>
      </c>
      <c r="C524" t="s">
        <v>69</v>
      </c>
      <c r="D524" t="s">
        <v>1754</v>
      </c>
      <c r="E524" t="s">
        <v>22</v>
      </c>
      <c r="F524" t="s">
        <v>1755</v>
      </c>
      <c r="G524" t="s">
        <v>1756</v>
      </c>
      <c r="H524">
        <f t="shared" si="65"/>
        <v>21100000</v>
      </c>
      <c r="I524">
        <f t="shared" si="66"/>
        <v>173900</v>
      </c>
      <c r="J524">
        <f t="shared" si="67"/>
        <v>232300</v>
      </c>
      <c r="K524" s="2">
        <f t="shared" si="68"/>
        <v>8.2417061611374416E-3</v>
      </c>
      <c r="L524" t="str">
        <f t="shared" si="69"/>
        <v>Tier 2</v>
      </c>
    </row>
    <row r="525" spans="1:12" x14ac:dyDescent="0.35">
      <c r="A525" s="1" t="s">
        <v>1757</v>
      </c>
      <c r="B525">
        <v>535</v>
      </c>
      <c r="C525" t="s">
        <v>26</v>
      </c>
      <c r="D525" t="s">
        <v>871</v>
      </c>
      <c r="E525" t="s">
        <v>1743</v>
      </c>
      <c r="F525" t="s">
        <v>1758</v>
      </c>
      <c r="G525" t="s">
        <v>1759</v>
      </c>
      <c r="H525">
        <f t="shared" si="65"/>
        <v>14900000</v>
      </c>
      <c r="I525">
        <f t="shared" si="66"/>
        <v>175200</v>
      </c>
      <c r="J525">
        <f t="shared" si="67"/>
        <v>340900</v>
      </c>
      <c r="K525" s="2">
        <f t="shared" si="68"/>
        <v>1.1758389261744967E-2</v>
      </c>
      <c r="L525" t="str">
        <f t="shared" si="69"/>
        <v>Tier 2</v>
      </c>
    </row>
    <row r="526" spans="1:12" x14ac:dyDescent="0.35">
      <c r="A526" s="1" t="s">
        <v>1760</v>
      </c>
      <c r="B526">
        <v>536</v>
      </c>
      <c r="C526" t="s">
        <v>8</v>
      </c>
      <c r="D526" t="s">
        <v>742</v>
      </c>
      <c r="E526" t="s">
        <v>22</v>
      </c>
      <c r="F526" t="s">
        <v>1761</v>
      </c>
      <c r="G526" t="s">
        <v>1762</v>
      </c>
      <c r="H526">
        <f t="shared" si="65"/>
        <v>9000000</v>
      </c>
      <c r="I526">
        <f t="shared" si="66"/>
        <v>269700</v>
      </c>
      <c r="J526">
        <f t="shared" si="67"/>
        <v>548100</v>
      </c>
      <c r="K526" s="2">
        <f t="shared" si="68"/>
        <v>2.9966666666666666E-2</v>
      </c>
      <c r="L526" t="str">
        <f t="shared" si="69"/>
        <v>Tier 1</v>
      </c>
    </row>
    <row r="527" spans="1:12" x14ac:dyDescent="0.35">
      <c r="A527" s="1" t="s">
        <v>1763</v>
      </c>
      <c r="B527">
        <v>537</v>
      </c>
      <c r="D527" t="s">
        <v>34</v>
      </c>
      <c r="E527" t="s">
        <v>141</v>
      </c>
      <c r="F527" t="s">
        <v>1764</v>
      </c>
      <c r="G527" t="s">
        <v>1765</v>
      </c>
      <c r="H527">
        <f t="shared" si="65"/>
        <v>5800000</v>
      </c>
      <c r="I527">
        <f t="shared" si="66"/>
        <v>581100</v>
      </c>
      <c r="J527">
        <f t="shared" si="67"/>
        <v>839200</v>
      </c>
      <c r="K527" s="2">
        <f t="shared" si="68"/>
        <v>0.10018965517241379</v>
      </c>
      <c r="L527" t="str">
        <f t="shared" si="69"/>
        <v>Tier 1</v>
      </c>
    </row>
    <row r="528" spans="1:12" x14ac:dyDescent="0.35">
      <c r="A528" s="1" t="s">
        <v>1766</v>
      </c>
      <c r="B528">
        <v>538</v>
      </c>
      <c r="C528" t="s">
        <v>436</v>
      </c>
      <c r="D528" t="s">
        <v>344</v>
      </c>
      <c r="E528" t="s">
        <v>42</v>
      </c>
      <c r="F528" t="s">
        <v>1767</v>
      </c>
      <c r="G528" t="s">
        <v>1768</v>
      </c>
      <c r="H528">
        <f t="shared" si="65"/>
        <v>20000000</v>
      </c>
      <c r="I528">
        <f t="shared" si="66"/>
        <v>117500</v>
      </c>
      <c r="J528">
        <f t="shared" si="67"/>
        <v>242600</v>
      </c>
      <c r="K528" s="2">
        <f t="shared" si="68"/>
        <v>5.875E-3</v>
      </c>
      <c r="L528" t="str">
        <f t="shared" si="69"/>
        <v>Tier 2</v>
      </c>
    </row>
    <row r="529" spans="1:12" x14ac:dyDescent="0.35">
      <c r="A529" s="1" t="s">
        <v>1769</v>
      </c>
      <c r="B529">
        <v>539</v>
      </c>
      <c r="C529" t="s">
        <v>1395</v>
      </c>
      <c r="D529" t="s">
        <v>1624</v>
      </c>
      <c r="E529" t="s">
        <v>584</v>
      </c>
      <c r="F529" t="s">
        <v>1770</v>
      </c>
      <c r="G529" t="s">
        <v>1771</v>
      </c>
      <c r="H529">
        <f t="shared" si="65"/>
        <v>8600000</v>
      </c>
      <c r="I529">
        <f t="shared" si="66"/>
        <v>400100</v>
      </c>
      <c r="J529">
        <f t="shared" si="67"/>
        <v>569100</v>
      </c>
      <c r="K529" s="2">
        <f t="shared" si="68"/>
        <v>4.6523255813953487E-2</v>
      </c>
      <c r="L529" t="str">
        <f t="shared" si="69"/>
        <v>Tier 1</v>
      </c>
    </row>
    <row r="530" spans="1:12" x14ac:dyDescent="0.35">
      <c r="A530" s="1" t="s">
        <v>1772</v>
      </c>
      <c r="B530">
        <v>540</v>
      </c>
      <c r="C530" t="s">
        <v>597</v>
      </c>
      <c r="D530" t="s">
        <v>1029</v>
      </c>
      <c r="E530" t="s">
        <v>42</v>
      </c>
      <c r="F530" t="s">
        <v>1773</v>
      </c>
      <c r="G530" t="s">
        <v>1774</v>
      </c>
      <c r="H530">
        <f t="shared" si="65"/>
        <v>12800000</v>
      </c>
      <c r="I530">
        <f t="shared" si="66"/>
        <v>137600</v>
      </c>
      <c r="J530">
        <f t="shared" si="67"/>
        <v>377300</v>
      </c>
      <c r="K530" s="2">
        <f t="shared" si="68"/>
        <v>1.0749999999999999E-2</v>
      </c>
      <c r="L530" t="str">
        <f t="shared" si="69"/>
        <v>Tier 2</v>
      </c>
    </row>
    <row r="531" spans="1:12" x14ac:dyDescent="0.35">
      <c r="A531" s="1" t="s">
        <v>1775</v>
      </c>
      <c r="B531">
        <v>541</v>
      </c>
      <c r="C531" t="s">
        <v>26</v>
      </c>
      <c r="D531" t="s">
        <v>667</v>
      </c>
      <c r="E531" t="s">
        <v>22</v>
      </c>
      <c r="F531" t="s">
        <v>1776</v>
      </c>
      <c r="G531" t="s">
        <v>1777</v>
      </c>
      <c r="H531">
        <f t="shared" si="65"/>
        <v>21400000</v>
      </c>
      <c r="I531">
        <f t="shared" si="66"/>
        <v>135800</v>
      </c>
      <c r="J531">
        <f t="shared" si="67"/>
        <v>222600</v>
      </c>
      <c r="K531" s="2">
        <f t="shared" si="68"/>
        <v>6.3457943925233646E-3</v>
      </c>
      <c r="L531" t="str">
        <f t="shared" si="69"/>
        <v>Tier 2</v>
      </c>
    </row>
    <row r="532" spans="1:12" x14ac:dyDescent="0.35">
      <c r="A532" s="1" t="s">
        <v>1778</v>
      </c>
      <c r="B532">
        <v>543</v>
      </c>
      <c r="D532" t="s">
        <v>759</v>
      </c>
      <c r="E532" t="s">
        <v>195</v>
      </c>
      <c r="F532" t="s">
        <v>1779</v>
      </c>
      <c r="G532" t="s">
        <v>1780</v>
      </c>
      <c r="H532">
        <f t="shared" si="65"/>
        <v>15100000</v>
      </c>
      <c r="I532">
        <f t="shared" si="66"/>
        <v>216800</v>
      </c>
      <c r="J532">
        <f t="shared" si="67"/>
        <v>313800</v>
      </c>
      <c r="K532" s="2">
        <f t="shared" si="68"/>
        <v>1.4357615894039735E-2</v>
      </c>
      <c r="L532" t="str">
        <f t="shared" si="69"/>
        <v>Tier 2</v>
      </c>
    </row>
    <row r="533" spans="1:12" x14ac:dyDescent="0.35">
      <c r="A533" s="1" t="s">
        <v>1781</v>
      </c>
      <c r="B533">
        <v>544</v>
      </c>
      <c r="C533" t="s">
        <v>26</v>
      </c>
      <c r="D533" t="s">
        <v>810</v>
      </c>
      <c r="E533" t="s">
        <v>58</v>
      </c>
      <c r="F533" t="s">
        <v>1782</v>
      </c>
      <c r="G533" t="s">
        <v>1783</v>
      </c>
      <c r="H533">
        <f t="shared" si="65"/>
        <v>7600000</v>
      </c>
      <c r="I533">
        <f t="shared" si="66"/>
        <v>558500</v>
      </c>
      <c r="J533">
        <f t="shared" si="67"/>
        <v>630300</v>
      </c>
      <c r="K533" s="2">
        <f t="shared" si="68"/>
        <v>7.3486842105263156E-2</v>
      </c>
      <c r="L533" t="str">
        <f t="shared" si="69"/>
        <v>Tier 1</v>
      </c>
    </row>
    <row r="534" spans="1:12" hidden="1" x14ac:dyDescent="0.35">
      <c r="A534" s="1" t="s">
        <v>1784</v>
      </c>
      <c r="B534">
        <v>545</v>
      </c>
      <c r="D534" t="s">
        <v>1785</v>
      </c>
      <c r="F534">
        <v>0</v>
      </c>
      <c r="G534" t="s">
        <v>434</v>
      </c>
      <c r="K534"/>
    </row>
    <row r="535" spans="1:12" x14ac:dyDescent="0.35">
      <c r="A535" s="1" t="s">
        <v>1786</v>
      </c>
      <c r="B535">
        <v>546</v>
      </c>
      <c r="C535" t="s">
        <v>590</v>
      </c>
      <c r="D535" t="s">
        <v>490</v>
      </c>
      <c r="E535" t="s">
        <v>42</v>
      </c>
      <c r="F535" t="s">
        <v>1787</v>
      </c>
      <c r="G535" t="s">
        <v>1788</v>
      </c>
      <c r="H535">
        <f t="shared" ref="H535:H583" si="70">IF(RIGHT(D535,1)="M", VALUE(SUBSTITUTE(D535,"M",""))*1000000, VALUE(SUBSTITUTE(D535,"K",""))*1000)</f>
        <v>31800000</v>
      </c>
      <c r="I535">
        <f t="shared" ref="I535:I583" si="71">IF(RIGHT(F535,1)="M", VALUE(SUBSTITUTE(F535,"M",""))*1000000, VALUE(SUBSTITUTE(F535,"K",""))*1000)</f>
        <v>87800</v>
      </c>
      <c r="J535">
        <f t="shared" ref="J535:J583" si="72">IF(RIGHT(G535,1)="M", VALUE(SUBSTITUTE(G535,"M",""))*1000000, VALUE(SUBSTITUTE(G535,"K",""))*1000)</f>
        <v>149400</v>
      </c>
      <c r="K535" s="2">
        <f t="shared" ref="K535:K583" si="73">I535/H535</f>
        <v>2.7610062893081763E-3</v>
      </c>
      <c r="L535" t="str">
        <f t="shared" ref="L535:L583" si="74">IF(H535&lt;10000000,"Tier 1",
 IF(H535&lt;50000000,"Tier 2",
 IF(H535&lt;100000000,"Tier 3",
 "Tier 4")))</f>
        <v>Tier 2</v>
      </c>
    </row>
    <row r="536" spans="1:12" x14ac:dyDescent="0.35">
      <c r="A536" s="1" t="s">
        <v>1789</v>
      </c>
      <c r="B536">
        <v>547</v>
      </c>
      <c r="C536" t="s">
        <v>1790</v>
      </c>
      <c r="D536" t="s">
        <v>1039</v>
      </c>
      <c r="E536" t="s">
        <v>58</v>
      </c>
      <c r="F536" t="s">
        <v>731</v>
      </c>
      <c r="G536" t="s">
        <v>1791</v>
      </c>
      <c r="H536">
        <f t="shared" si="70"/>
        <v>18400000</v>
      </c>
      <c r="I536">
        <f t="shared" si="71"/>
        <v>169000</v>
      </c>
      <c r="J536">
        <f t="shared" si="72"/>
        <v>257100.00000000003</v>
      </c>
      <c r="K536" s="2">
        <f t="shared" si="73"/>
        <v>9.1847826086956519E-3</v>
      </c>
      <c r="L536" t="str">
        <f t="shared" si="74"/>
        <v>Tier 2</v>
      </c>
    </row>
    <row r="537" spans="1:12" x14ac:dyDescent="0.35">
      <c r="A537" s="1" t="s">
        <v>1792</v>
      </c>
      <c r="B537">
        <v>548</v>
      </c>
      <c r="C537" t="s">
        <v>1793</v>
      </c>
      <c r="D537" t="s">
        <v>234</v>
      </c>
      <c r="E537" t="s">
        <v>22</v>
      </c>
      <c r="F537" t="s">
        <v>1678</v>
      </c>
      <c r="G537" t="s">
        <v>1794</v>
      </c>
      <c r="H537">
        <f t="shared" si="70"/>
        <v>24700000</v>
      </c>
      <c r="I537">
        <f t="shared" si="71"/>
        <v>142100</v>
      </c>
      <c r="J537">
        <f t="shared" si="72"/>
        <v>190600</v>
      </c>
      <c r="K537" s="2">
        <f t="shared" si="73"/>
        <v>5.7530364372469639E-3</v>
      </c>
      <c r="L537" t="str">
        <f t="shared" si="74"/>
        <v>Tier 2</v>
      </c>
    </row>
    <row r="538" spans="1:12" x14ac:dyDescent="0.35">
      <c r="A538" s="1" t="s">
        <v>1795</v>
      </c>
      <c r="B538">
        <v>549</v>
      </c>
      <c r="C538" t="s">
        <v>76</v>
      </c>
      <c r="D538" t="s">
        <v>1319</v>
      </c>
      <c r="E538" t="s">
        <v>42</v>
      </c>
      <c r="F538" t="s">
        <v>1796</v>
      </c>
      <c r="G538" t="s">
        <v>1797</v>
      </c>
      <c r="H538">
        <f t="shared" si="70"/>
        <v>13200000</v>
      </c>
      <c r="I538">
        <f t="shared" si="71"/>
        <v>216400</v>
      </c>
      <c r="J538">
        <f t="shared" si="72"/>
        <v>358500</v>
      </c>
      <c r="K538" s="2">
        <f t="shared" si="73"/>
        <v>1.6393939393939395E-2</v>
      </c>
      <c r="L538" t="str">
        <f t="shared" si="74"/>
        <v>Tier 2</v>
      </c>
    </row>
    <row r="539" spans="1:12" x14ac:dyDescent="0.35">
      <c r="A539" s="1" t="s">
        <v>1798</v>
      </c>
      <c r="B539">
        <v>550</v>
      </c>
      <c r="C539" t="s">
        <v>180</v>
      </c>
      <c r="D539" t="s">
        <v>1411</v>
      </c>
      <c r="E539" t="s">
        <v>22</v>
      </c>
      <c r="F539" t="s">
        <v>1799</v>
      </c>
      <c r="G539" t="s">
        <v>1800</v>
      </c>
      <c r="H539">
        <f t="shared" si="70"/>
        <v>6700000</v>
      </c>
      <c r="I539">
        <f t="shared" si="71"/>
        <v>461900</v>
      </c>
      <c r="J539">
        <f t="shared" si="72"/>
        <v>707100</v>
      </c>
      <c r="K539" s="2">
        <f t="shared" si="73"/>
        <v>6.894029850746268E-2</v>
      </c>
      <c r="L539" t="str">
        <f t="shared" si="74"/>
        <v>Tier 1</v>
      </c>
    </row>
    <row r="540" spans="1:12" x14ac:dyDescent="0.35">
      <c r="A540" s="1" t="s">
        <v>1801</v>
      </c>
      <c r="B540">
        <v>552</v>
      </c>
      <c r="C540" t="s">
        <v>69</v>
      </c>
      <c r="D540" t="s">
        <v>34</v>
      </c>
      <c r="E540" t="s">
        <v>42</v>
      </c>
      <c r="F540" t="s">
        <v>1080</v>
      </c>
      <c r="G540" t="s">
        <v>1802</v>
      </c>
      <c r="H540">
        <f t="shared" si="70"/>
        <v>5800000</v>
      </c>
      <c r="I540">
        <f t="shared" si="71"/>
        <v>555700</v>
      </c>
      <c r="J540">
        <f t="shared" si="72"/>
        <v>812700</v>
      </c>
      <c r="K540" s="2">
        <f t="shared" si="73"/>
        <v>9.5810344827586214E-2</v>
      </c>
      <c r="L540" t="str">
        <f t="shared" si="74"/>
        <v>Tier 1</v>
      </c>
    </row>
    <row r="541" spans="1:12" x14ac:dyDescent="0.35">
      <c r="A541" s="1" t="s">
        <v>1803</v>
      </c>
      <c r="B541">
        <v>553</v>
      </c>
      <c r="C541" t="s">
        <v>834</v>
      </c>
      <c r="D541" t="s">
        <v>129</v>
      </c>
      <c r="E541" t="s">
        <v>22</v>
      </c>
      <c r="F541" t="s">
        <v>687</v>
      </c>
      <c r="G541" t="s">
        <v>1804</v>
      </c>
      <c r="H541">
        <f t="shared" si="70"/>
        <v>5200000</v>
      </c>
      <c r="I541">
        <f t="shared" si="71"/>
        <v>613700</v>
      </c>
      <c r="J541">
        <f t="shared" si="72"/>
        <v>906700</v>
      </c>
      <c r="K541" s="2">
        <f t="shared" si="73"/>
        <v>0.11801923076923077</v>
      </c>
      <c r="L541" t="str">
        <f t="shared" si="74"/>
        <v>Tier 1</v>
      </c>
    </row>
    <row r="542" spans="1:12" x14ac:dyDescent="0.35">
      <c r="A542" s="1" t="s">
        <v>1805</v>
      </c>
      <c r="B542">
        <v>554</v>
      </c>
      <c r="C542" t="s">
        <v>69</v>
      </c>
      <c r="D542" t="s">
        <v>1710</v>
      </c>
      <c r="E542" t="s">
        <v>22</v>
      </c>
      <c r="F542" t="s">
        <v>1806</v>
      </c>
      <c r="G542" t="s">
        <v>1807</v>
      </c>
      <c r="H542">
        <f t="shared" si="70"/>
        <v>20100000</v>
      </c>
      <c r="I542">
        <f t="shared" si="71"/>
        <v>173400</v>
      </c>
      <c r="J542">
        <f t="shared" si="72"/>
        <v>231500</v>
      </c>
      <c r="K542" s="2">
        <f t="shared" si="73"/>
        <v>8.6268656716417917E-3</v>
      </c>
      <c r="L542" t="str">
        <f t="shared" si="74"/>
        <v>Tier 2</v>
      </c>
    </row>
    <row r="543" spans="1:12" x14ac:dyDescent="0.35">
      <c r="A543" s="1" t="s">
        <v>1808</v>
      </c>
      <c r="B543">
        <v>555</v>
      </c>
      <c r="C543" t="s">
        <v>180</v>
      </c>
      <c r="D543" t="s">
        <v>1710</v>
      </c>
      <c r="E543" t="s">
        <v>42</v>
      </c>
      <c r="F543" t="s">
        <v>1809</v>
      </c>
      <c r="G543" t="s">
        <v>1810</v>
      </c>
      <c r="H543">
        <f t="shared" si="70"/>
        <v>20100000</v>
      </c>
      <c r="I543">
        <f t="shared" si="71"/>
        <v>119700</v>
      </c>
      <c r="J543">
        <f t="shared" si="72"/>
        <v>230500</v>
      </c>
      <c r="K543" s="2">
        <f t="shared" si="73"/>
        <v>5.9552238805970145E-3</v>
      </c>
      <c r="L543" t="str">
        <f t="shared" si="74"/>
        <v>Tier 2</v>
      </c>
    </row>
    <row r="544" spans="1:12" x14ac:dyDescent="0.35">
      <c r="A544" s="1" t="s">
        <v>1811</v>
      </c>
      <c r="B544">
        <v>556</v>
      </c>
      <c r="C544" t="s">
        <v>8</v>
      </c>
      <c r="D544" t="s">
        <v>262</v>
      </c>
      <c r="E544" t="s">
        <v>42</v>
      </c>
      <c r="F544" t="s">
        <v>1812</v>
      </c>
      <c r="G544" t="s">
        <v>1813</v>
      </c>
      <c r="H544">
        <f t="shared" si="70"/>
        <v>23000000</v>
      </c>
      <c r="I544">
        <f t="shared" si="71"/>
        <v>116600</v>
      </c>
      <c r="J544">
        <f t="shared" si="72"/>
        <v>201900</v>
      </c>
      <c r="K544" s="2">
        <f t="shared" si="73"/>
        <v>5.0695652173913044E-3</v>
      </c>
      <c r="L544" t="str">
        <f t="shared" si="74"/>
        <v>Tier 2</v>
      </c>
    </row>
    <row r="545" spans="1:12" x14ac:dyDescent="0.35">
      <c r="A545" s="1" t="s">
        <v>1814</v>
      </c>
      <c r="B545">
        <v>557</v>
      </c>
      <c r="C545" t="s">
        <v>1815</v>
      </c>
      <c r="D545" t="s">
        <v>1223</v>
      </c>
      <c r="E545" t="s">
        <v>42</v>
      </c>
      <c r="F545" t="s">
        <v>1816</v>
      </c>
      <c r="G545" t="s">
        <v>1817</v>
      </c>
      <c r="H545">
        <f t="shared" si="70"/>
        <v>19400000</v>
      </c>
      <c r="I545">
        <f t="shared" si="71"/>
        <v>161700</v>
      </c>
      <c r="J545">
        <f t="shared" si="72"/>
        <v>240100</v>
      </c>
      <c r="K545" s="2">
        <f t="shared" si="73"/>
        <v>8.3350515463917526E-3</v>
      </c>
      <c r="L545" t="str">
        <f t="shared" si="74"/>
        <v>Tier 2</v>
      </c>
    </row>
    <row r="546" spans="1:12" x14ac:dyDescent="0.35">
      <c r="A546" s="1" t="s">
        <v>1818</v>
      </c>
      <c r="B546">
        <v>558</v>
      </c>
      <c r="C546" t="s">
        <v>8</v>
      </c>
      <c r="D546" t="s">
        <v>1448</v>
      </c>
      <c r="E546" t="s">
        <v>1102</v>
      </c>
      <c r="F546" t="s">
        <v>1819</v>
      </c>
      <c r="G546" t="s">
        <v>1820</v>
      </c>
      <c r="H546">
        <f t="shared" si="70"/>
        <v>39500000</v>
      </c>
      <c r="I546">
        <f t="shared" si="71"/>
        <v>82300</v>
      </c>
      <c r="J546">
        <f t="shared" si="72"/>
        <v>116700</v>
      </c>
      <c r="K546" s="2">
        <f t="shared" si="73"/>
        <v>2.0835443037974682E-3</v>
      </c>
      <c r="L546" t="str">
        <f t="shared" si="74"/>
        <v>Tier 2</v>
      </c>
    </row>
    <row r="547" spans="1:12" x14ac:dyDescent="0.35">
      <c r="A547" s="1" t="s">
        <v>1821</v>
      </c>
      <c r="B547">
        <v>559</v>
      </c>
      <c r="C547" t="s">
        <v>69</v>
      </c>
      <c r="D547" t="s">
        <v>677</v>
      </c>
      <c r="E547" t="s">
        <v>10</v>
      </c>
      <c r="F547" t="s">
        <v>1822</v>
      </c>
      <c r="G547" t="s">
        <v>828</v>
      </c>
      <c r="H547">
        <f t="shared" si="70"/>
        <v>14600000</v>
      </c>
      <c r="I547">
        <f t="shared" si="71"/>
        <v>274000</v>
      </c>
      <c r="J547">
        <f t="shared" si="72"/>
        <v>315200</v>
      </c>
      <c r="K547" s="2">
        <f t="shared" si="73"/>
        <v>1.8767123287671234E-2</v>
      </c>
      <c r="L547" t="str">
        <f t="shared" si="74"/>
        <v>Tier 2</v>
      </c>
    </row>
    <row r="548" spans="1:12" x14ac:dyDescent="0.35">
      <c r="A548" s="1" t="s">
        <v>1823</v>
      </c>
      <c r="B548">
        <v>560</v>
      </c>
      <c r="C548" t="s">
        <v>8</v>
      </c>
      <c r="D548" t="s">
        <v>1029</v>
      </c>
      <c r="E548" t="s">
        <v>1102</v>
      </c>
      <c r="F548" t="s">
        <v>1249</v>
      </c>
      <c r="G548" t="s">
        <v>1824</v>
      </c>
      <c r="H548">
        <f t="shared" si="70"/>
        <v>12800000</v>
      </c>
      <c r="I548">
        <f t="shared" si="71"/>
        <v>227900</v>
      </c>
      <c r="J548">
        <f t="shared" si="72"/>
        <v>360500</v>
      </c>
      <c r="K548" s="2">
        <f t="shared" si="73"/>
        <v>1.7804687499999999E-2</v>
      </c>
      <c r="L548" t="str">
        <f t="shared" si="74"/>
        <v>Tier 2</v>
      </c>
    </row>
    <row r="549" spans="1:12" x14ac:dyDescent="0.35">
      <c r="A549" s="1" t="s">
        <v>1825</v>
      </c>
      <c r="B549">
        <v>561</v>
      </c>
      <c r="C549" t="s">
        <v>69</v>
      </c>
      <c r="D549" t="s">
        <v>1167</v>
      </c>
      <c r="E549" t="s">
        <v>519</v>
      </c>
      <c r="F549" t="s">
        <v>1826</v>
      </c>
      <c r="G549" t="s">
        <v>1827</v>
      </c>
      <c r="H549">
        <f t="shared" si="70"/>
        <v>13400000</v>
      </c>
      <c r="I549">
        <f t="shared" si="71"/>
        <v>266400</v>
      </c>
      <c r="J549">
        <f t="shared" si="72"/>
        <v>343300</v>
      </c>
      <c r="K549" s="2">
        <f t="shared" si="73"/>
        <v>1.9880597014925373E-2</v>
      </c>
      <c r="L549" t="str">
        <f t="shared" si="74"/>
        <v>Tier 2</v>
      </c>
    </row>
    <row r="550" spans="1:12" x14ac:dyDescent="0.35">
      <c r="A550" s="1" t="s">
        <v>1828</v>
      </c>
      <c r="B550">
        <v>562</v>
      </c>
      <c r="C550" t="s">
        <v>920</v>
      </c>
      <c r="D550" t="s">
        <v>466</v>
      </c>
      <c r="E550" t="s">
        <v>22</v>
      </c>
      <c r="F550" t="s">
        <v>1829</v>
      </c>
      <c r="G550" t="s">
        <v>1822</v>
      </c>
      <c r="H550">
        <f t="shared" si="70"/>
        <v>16800000</v>
      </c>
      <c r="I550">
        <f t="shared" si="71"/>
        <v>212200</v>
      </c>
      <c r="J550">
        <f t="shared" si="72"/>
        <v>274000</v>
      </c>
      <c r="K550" s="2">
        <f t="shared" si="73"/>
        <v>1.2630952380952382E-2</v>
      </c>
      <c r="L550" t="str">
        <f t="shared" si="74"/>
        <v>Tier 2</v>
      </c>
    </row>
    <row r="551" spans="1:12" x14ac:dyDescent="0.35">
      <c r="A551" s="1" t="s">
        <v>1830</v>
      </c>
      <c r="B551">
        <v>563</v>
      </c>
      <c r="C551" t="s">
        <v>76</v>
      </c>
      <c r="D551" t="s">
        <v>1831</v>
      </c>
      <c r="E551" t="s">
        <v>10</v>
      </c>
      <c r="F551" t="s">
        <v>1832</v>
      </c>
      <c r="G551" t="s">
        <v>1833</v>
      </c>
      <c r="H551">
        <f t="shared" si="70"/>
        <v>6100000</v>
      </c>
      <c r="I551">
        <f t="shared" si="71"/>
        <v>567200</v>
      </c>
      <c r="J551">
        <f t="shared" si="72"/>
        <v>759900</v>
      </c>
      <c r="K551" s="2">
        <f t="shared" si="73"/>
        <v>9.2983606557377044E-2</v>
      </c>
      <c r="L551" t="str">
        <f t="shared" si="74"/>
        <v>Tier 1</v>
      </c>
    </row>
    <row r="552" spans="1:12" x14ac:dyDescent="0.35">
      <c r="A552" s="1" t="s">
        <v>1834</v>
      </c>
      <c r="B552">
        <v>564</v>
      </c>
      <c r="C552" t="s">
        <v>8</v>
      </c>
      <c r="D552" t="s">
        <v>1034</v>
      </c>
      <c r="E552" t="s">
        <v>22</v>
      </c>
      <c r="F552" t="s">
        <v>1835</v>
      </c>
      <c r="G552" t="s">
        <v>1836</v>
      </c>
      <c r="H552">
        <f t="shared" si="70"/>
        <v>16900000</v>
      </c>
      <c r="I552">
        <f t="shared" si="71"/>
        <v>178900</v>
      </c>
      <c r="J552">
        <f t="shared" si="72"/>
        <v>271300</v>
      </c>
      <c r="K552" s="2">
        <f t="shared" si="73"/>
        <v>1.0585798816568048E-2</v>
      </c>
      <c r="L552" t="str">
        <f t="shared" si="74"/>
        <v>Tier 2</v>
      </c>
    </row>
    <row r="553" spans="1:12" x14ac:dyDescent="0.35">
      <c r="A553" s="1" t="s">
        <v>1837</v>
      </c>
      <c r="B553">
        <v>565</v>
      </c>
      <c r="C553" t="s">
        <v>50</v>
      </c>
      <c r="D553" t="s">
        <v>1316</v>
      </c>
      <c r="E553" t="s">
        <v>211</v>
      </c>
      <c r="F553" t="s">
        <v>1838</v>
      </c>
      <c r="G553" t="s">
        <v>1839</v>
      </c>
      <c r="H553">
        <f t="shared" si="70"/>
        <v>7900000</v>
      </c>
      <c r="I553">
        <f t="shared" si="71"/>
        <v>499400</v>
      </c>
      <c r="J553">
        <f t="shared" si="72"/>
        <v>584200</v>
      </c>
      <c r="K553" s="2">
        <f t="shared" si="73"/>
        <v>6.3215189873417718E-2</v>
      </c>
      <c r="L553" t="str">
        <f t="shared" si="74"/>
        <v>Tier 1</v>
      </c>
    </row>
    <row r="554" spans="1:12" x14ac:dyDescent="0.35">
      <c r="A554" s="1" t="s">
        <v>1840</v>
      </c>
      <c r="B554">
        <v>566</v>
      </c>
      <c r="C554" t="s">
        <v>69</v>
      </c>
      <c r="D554" t="s">
        <v>24</v>
      </c>
      <c r="E554" t="s">
        <v>10</v>
      </c>
      <c r="F554" t="s">
        <v>1841</v>
      </c>
      <c r="G554" t="s">
        <v>1842</v>
      </c>
      <c r="H554">
        <f t="shared" si="70"/>
        <v>4900000</v>
      </c>
      <c r="I554">
        <f t="shared" si="71"/>
        <v>731700</v>
      </c>
      <c r="J554">
        <f t="shared" si="72"/>
        <v>949400</v>
      </c>
      <c r="K554" s="2">
        <f t="shared" si="73"/>
        <v>0.14932653061224491</v>
      </c>
      <c r="L554" t="str">
        <f t="shared" si="74"/>
        <v>Tier 1</v>
      </c>
    </row>
    <row r="555" spans="1:12" x14ac:dyDescent="0.35">
      <c r="A555" s="1" t="s">
        <v>1843</v>
      </c>
      <c r="B555">
        <v>567</v>
      </c>
      <c r="C555" t="s">
        <v>8</v>
      </c>
      <c r="D555" t="s">
        <v>1844</v>
      </c>
      <c r="E555" t="s">
        <v>279</v>
      </c>
      <c r="F555" t="s">
        <v>1845</v>
      </c>
      <c r="G555" t="s">
        <v>1846</v>
      </c>
      <c r="H555">
        <f t="shared" si="70"/>
        <v>26700000</v>
      </c>
      <c r="I555">
        <f t="shared" si="71"/>
        <v>100500</v>
      </c>
      <c r="J555">
        <f t="shared" si="72"/>
        <v>169500</v>
      </c>
      <c r="K555" s="2">
        <f t="shared" si="73"/>
        <v>3.7640449438202249E-3</v>
      </c>
      <c r="L555" t="str">
        <f t="shared" si="74"/>
        <v>Tier 2</v>
      </c>
    </row>
    <row r="556" spans="1:12" x14ac:dyDescent="0.35">
      <c r="A556" s="1" t="s">
        <v>1847</v>
      </c>
      <c r="B556">
        <v>568</v>
      </c>
      <c r="C556" t="s">
        <v>310</v>
      </c>
      <c r="D556" t="s">
        <v>63</v>
      </c>
      <c r="E556" t="s">
        <v>22</v>
      </c>
      <c r="F556" t="s">
        <v>1848</v>
      </c>
      <c r="G556" t="s">
        <v>1849</v>
      </c>
      <c r="H556">
        <f t="shared" si="70"/>
        <v>7000000</v>
      </c>
      <c r="I556">
        <f t="shared" si="71"/>
        <v>481000</v>
      </c>
      <c r="J556">
        <f t="shared" si="72"/>
        <v>651700</v>
      </c>
      <c r="K556" s="2">
        <f t="shared" si="73"/>
        <v>6.8714285714285714E-2</v>
      </c>
      <c r="L556" t="str">
        <f t="shared" si="74"/>
        <v>Tier 1</v>
      </c>
    </row>
    <row r="557" spans="1:12" x14ac:dyDescent="0.35">
      <c r="A557" s="1" t="s">
        <v>1850</v>
      </c>
      <c r="B557">
        <v>569</v>
      </c>
      <c r="C557" t="s">
        <v>8</v>
      </c>
      <c r="D557" t="s">
        <v>810</v>
      </c>
      <c r="E557" t="s">
        <v>1102</v>
      </c>
      <c r="F557" t="s">
        <v>1851</v>
      </c>
      <c r="G557" t="s">
        <v>1852</v>
      </c>
      <c r="H557">
        <f t="shared" si="70"/>
        <v>7600000</v>
      </c>
      <c r="I557">
        <f t="shared" si="71"/>
        <v>408400</v>
      </c>
      <c r="J557">
        <f t="shared" si="72"/>
        <v>598300</v>
      </c>
      <c r="K557" s="2">
        <f t="shared" si="73"/>
        <v>5.3736842105263159E-2</v>
      </c>
      <c r="L557" t="str">
        <f t="shared" si="74"/>
        <v>Tier 1</v>
      </c>
    </row>
    <row r="558" spans="1:12" x14ac:dyDescent="0.35">
      <c r="A558" s="1" t="s">
        <v>1853</v>
      </c>
      <c r="B558">
        <v>570</v>
      </c>
      <c r="C558" t="s">
        <v>76</v>
      </c>
      <c r="D558" t="s">
        <v>1411</v>
      </c>
      <c r="E558" t="s">
        <v>22</v>
      </c>
      <c r="F558" t="s">
        <v>1854</v>
      </c>
      <c r="G558" t="s">
        <v>1855</v>
      </c>
      <c r="H558">
        <f t="shared" si="70"/>
        <v>6700000</v>
      </c>
      <c r="I558">
        <f t="shared" si="71"/>
        <v>362400</v>
      </c>
      <c r="J558">
        <f t="shared" si="72"/>
        <v>678600</v>
      </c>
      <c r="K558" s="2">
        <f t="shared" si="73"/>
        <v>5.4089552238805967E-2</v>
      </c>
      <c r="L558" t="str">
        <f t="shared" si="74"/>
        <v>Tier 1</v>
      </c>
    </row>
    <row r="559" spans="1:12" x14ac:dyDescent="0.35">
      <c r="A559" s="1" t="s">
        <v>1856</v>
      </c>
      <c r="B559">
        <v>571</v>
      </c>
      <c r="C559" t="s">
        <v>310</v>
      </c>
      <c r="D559" t="s">
        <v>1411</v>
      </c>
      <c r="E559" t="s">
        <v>22</v>
      </c>
      <c r="F559" t="s">
        <v>1857</v>
      </c>
      <c r="G559" t="s">
        <v>1858</v>
      </c>
      <c r="H559">
        <f t="shared" si="70"/>
        <v>6700000</v>
      </c>
      <c r="I559">
        <f t="shared" si="71"/>
        <v>360700</v>
      </c>
      <c r="J559">
        <f t="shared" si="72"/>
        <v>673900</v>
      </c>
      <c r="K559" s="2">
        <f t="shared" si="73"/>
        <v>5.3835820895522385E-2</v>
      </c>
      <c r="L559" t="str">
        <f t="shared" si="74"/>
        <v>Tier 1</v>
      </c>
    </row>
    <row r="560" spans="1:12" x14ac:dyDescent="0.35">
      <c r="A560" s="1" t="s">
        <v>1859</v>
      </c>
      <c r="B560">
        <v>572</v>
      </c>
      <c r="C560" t="s">
        <v>1028</v>
      </c>
      <c r="D560" t="s">
        <v>1537</v>
      </c>
      <c r="E560" t="s">
        <v>22</v>
      </c>
      <c r="F560" t="s">
        <v>1179</v>
      </c>
      <c r="G560" t="s">
        <v>1860</v>
      </c>
      <c r="H560">
        <f t="shared" si="70"/>
        <v>22700000</v>
      </c>
      <c r="I560">
        <f t="shared" si="71"/>
        <v>144700</v>
      </c>
      <c r="J560">
        <f t="shared" si="72"/>
        <v>196800</v>
      </c>
      <c r="K560" s="2">
        <f t="shared" si="73"/>
        <v>6.3744493392070486E-3</v>
      </c>
      <c r="L560" t="str">
        <f t="shared" si="74"/>
        <v>Tier 2</v>
      </c>
    </row>
    <row r="561" spans="1:12" x14ac:dyDescent="0.35">
      <c r="A561" s="1" t="s">
        <v>1861</v>
      </c>
      <c r="B561">
        <v>573</v>
      </c>
      <c r="C561" t="s">
        <v>615</v>
      </c>
      <c r="D561" t="s">
        <v>742</v>
      </c>
      <c r="E561" t="s">
        <v>22</v>
      </c>
      <c r="F561" t="s">
        <v>1862</v>
      </c>
      <c r="G561" t="s">
        <v>1863</v>
      </c>
      <c r="H561">
        <f t="shared" si="70"/>
        <v>9000000</v>
      </c>
      <c r="I561">
        <f t="shared" si="71"/>
        <v>407200</v>
      </c>
      <c r="J561">
        <f t="shared" si="72"/>
        <v>497200</v>
      </c>
      <c r="K561" s="2">
        <f t="shared" si="73"/>
        <v>4.5244444444444441E-2</v>
      </c>
      <c r="L561" t="str">
        <f t="shared" si="74"/>
        <v>Tier 1</v>
      </c>
    </row>
    <row r="562" spans="1:12" x14ac:dyDescent="0.35">
      <c r="A562" s="1" t="s">
        <v>1864</v>
      </c>
      <c r="B562">
        <v>574</v>
      </c>
      <c r="C562" t="s">
        <v>1050</v>
      </c>
      <c r="D562" t="s">
        <v>1004</v>
      </c>
      <c r="E562" t="s">
        <v>22</v>
      </c>
      <c r="F562" t="s">
        <v>1611</v>
      </c>
      <c r="G562" t="s">
        <v>1865</v>
      </c>
      <c r="H562">
        <f t="shared" si="70"/>
        <v>8400000</v>
      </c>
      <c r="I562">
        <f t="shared" si="71"/>
        <v>373000</v>
      </c>
      <c r="J562">
        <f t="shared" si="72"/>
        <v>532600</v>
      </c>
      <c r="K562" s="2">
        <f t="shared" si="73"/>
        <v>4.4404761904761905E-2</v>
      </c>
      <c r="L562" t="str">
        <f t="shared" si="74"/>
        <v>Tier 1</v>
      </c>
    </row>
    <row r="563" spans="1:12" x14ac:dyDescent="0.35">
      <c r="A563" s="1" t="s">
        <v>1866</v>
      </c>
      <c r="B563">
        <v>575</v>
      </c>
      <c r="C563" t="s">
        <v>157</v>
      </c>
      <c r="D563" t="s">
        <v>1505</v>
      </c>
      <c r="E563" t="s">
        <v>22</v>
      </c>
      <c r="F563" t="s">
        <v>1867</v>
      </c>
      <c r="G563" t="s">
        <v>1868</v>
      </c>
      <c r="H563">
        <f t="shared" si="70"/>
        <v>9500000</v>
      </c>
      <c r="I563">
        <f t="shared" si="71"/>
        <v>330500</v>
      </c>
      <c r="J563">
        <f t="shared" si="72"/>
        <v>470700</v>
      </c>
      <c r="K563" s="2">
        <f t="shared" si="73"/>
        <v>3.4789473684210523E-2</v>
      </c>
      <c r="L563" t="str">
        <f t="shared" si="74"/>
        <v>Tier 1</v>
      </c>
    </row>
    <row r="564" spans="1:12" x14ac:dyDescent="0.35">
      <c r="A564" s="1" t="s">
        <v>1869</v>
      </c>
      <c r="B564">
        <v>576</v>
      </c>
      <c r="C564" t="s">
        <v>8</v>
      </c>
      <c r="D564" t="s">
        <v>1326</v>
      </c>
      <c r="E564" t="s">
        <v>10</v>
      </c>
      <c r="F564" t="s">
        <v>1870</v>
      </c>
      <c r="G564" t="s">
        <v>1871</v>
      </c>
      <c r="H564">
        <f t="shared" si="70"/>
        <v>6200000</v>
      </c>
      <c r="I564">
        <f t="shared" si="71"/>
        <v>621300</v>
      </c>
      <c r="J564">
        <f t="shared" si="72"/>
        <v>720200</v>
      </c>
      <c r="K564" s="2">
        <f t="shared" si="73"/>
        <v>0.10020967741935484</v>
      </c>
      <c r="L564" t="str">
        <f t="shared" si="74"/>
        <v>Tier 1</v>
      </c>
    </row>
    <row r="565" spans="1:12" x14ac:dyDescent="0.35">
      <c r="A565" s="1" t="s">
        <v>1872</v>
      </c>
      <c r="B565">
        <v>577</v>
      </c>
      <c r="C565" t="s">
        <v>26</v>
      </c>
      <c r="D565" t="s">
        <v>538</v>
      </c>
      <c r="E565" t="s">
        <v>10</v>
      </c>
      <c r="F565" t="s">
        <v>1873</v>
      </c>
      <c r="G565" t="s">
        <v>1874</v>
      </c>
      <c r="H565">
        <f t="shared" si="70"/>
        <v>24400000</v>
      </c>
      <c r="I565">
        <f t="shared" si="71"/>
        <v>160200</v>
      </c>
      <c r="J565">
        <f t="shared" si="72"/>
        <v>180300</v>
      </c>
      <c r="K565" s="2">
        <f t="shared" si="73"/>
        <v>6.5655737704918031E-3</v>
      </c>
      <c r="L565" t="str">
        <f t="shared" si="74"/>
        <v>Tier 2</v>
      </c>
    </row>
    <row r="566" spans="1:12" x14ac:dyDescent="0.35">
      <c r="A566" s="1" t="s">
        <v>1875</v>
      </c>
      <c r="B566">
        <v>578</v>
      </c>
      <c r="C566" t="s">
        <v>8</v>
      </c>
      <c r="D566" t="s">
        <v>81</v>
      </c>
      <c r="E566" t="s">
        <v>1876</v>
      </c>
      <c r="F566" t="s">
        <v>1877</v>
      </c>
      <c r="G566" t="s">
        <v>1878</v>
      </c>
      <c r="H566">
        <f t="shared" si="70"/>
        <v>9900000</v>
      </c>
      <c r="I566">
        <f t="shared" si="71"/>
        <v>304100</v>
      </c>
      <c r="J566">
        <f t="shared" si="72"/>
        <v>446800</v>
      </c>
      <c r="K566" s="2">
        <f t="shared" si="73"/>
        <v>3.0717171717171716E-2</v>
      </c>
      <c r="L566" t="str">
        <f t="shared" si="74"/>
        <v>Tier 1</v>
      </c>
    </row>
    <row r="567" spans="1:12" x14ac:dyDescent="0.35">
      <c r="A567" s="1" t="s">
        <v>1879</v>
      </c>
      <c r="B567">
        <v>579</v>
      </c>
      <c r="C567" t="s">
        <v>920</v>
      </c>
      <c r="D567" t="s">
        <v>1004</v>
      </c>
      <c r="E567" t="s">
        <v>42</v>
      </c>
      <c r="F567" t="s">
        <v>1880</v>
      </c>
      <c r="G567" t="s">
        <v>1881</v>
      </c>
      <c r="H567">
        <f t="shared" si="70"/>
        <v>8400000</v>
      </c>
      <c r="I567">
        <f t="shared" si="71"/>
        <v>214900</v>
      </c>
      <c r="J567">
        <f t="shared" si="72"/>
        <v>549800</v>
      </c>
      <c r="K567" s="2">
        <f t="shared" si="73"/>
        <v>2.5583333333333333E-2</v>
      </c>
      <c r="L567" t="str">
        <f t="shared" si="74"/>
        <v>Tier 1</v>
      </c>
    </row>
    <row r="568" spans="1:12" x14ac:dyDescent="0.35">
      <c r="A568" s="1" t="s">
        <v>1882</v>
      </c>
      <c r="B568">
        <v>580</v>
      </c>
      <c r="C568" t="s">
        <v>26</v>
      </c>
      <c r="D568" t="s">
        <v>24</v>
      </c>
      <c r="E568" t="s">
        <v>58</v>
      </c>
      <c r="F568" t="s">
        <v>1883</v>
      </c>
      <c r="G568" t="s">
        <v>1884</v>
      </c>
      <c r="H568">
        <f t="shared" si="70"/>
        <v>4900000</v>
      </c>
      <c r="I568">
        <f t="shared" si="71"/>
        <v>721900</v>
      </c>
      <c r="J568">
        <f t="shared" si="72"/>
        <v>910300</v>
      </c>
      <c r="K568" s="2">
        <f t="shared" si="73"/>
        <v>0.1473265306122449</v>
      </c>
      <c r="L568" t="str">
        <f t="shared" si="74"/>
        <v>Tier 1</v>
      </c>
    </row>
    <row r="569" spans="1:12" x14ac:dyDescent="0.35">
      <c r="A569" s="1" t="s">
        <v>1885</v>
      </c>
      <c r="B569">
        <v>581</v>
      </c>
      <c r="C569" t="s">
        <v>1415</v>
      </c>
      <c r="D569" t="s">
        <v>1886</v>
      </c>
      <c r="E569" t="s">
        <v>10</v>
      </c>
      <c r="F569" t="s">
        <v>1235</v>
      </c>
      <c r="G569" t="s">
        <v>1887</v>
      </c>
      <c r="H569">
        <f t="shared" si="70"/>
        <v>11300000</v>
      </c>
      <c r="I569">
        <f t="shared" si="71"/>
        <v>289800</v>
      </c>
      <c r="J569">
        <f t="shared" si="72"/>
        <v>383000</v>
      </c>
      <c r="K569" s="2">
        <f t="shared" si="73"/>
        <v>2.5646017699115044E-2</v>
      </c>
      <c r="L569" t="str">
        <f t="shared" si="74"/>
        <v>Tier 2</v>
      </c>
    </row>
    <row r="570" spans="1:12" x14ac:dyDescent="0.35">
      <c r="A570" s="1" t="s">
        <v>1888</v>
      </c>
      <c r="B570">
        <v>582</v>
      </c>
      <c r="C570" t="s">
        <v>1889</v>
      </c>
      <c r="D570" t="s">
        <v>115</v>
      </c>
      <c r="E570" t="s">
        <v>58</v>
      </c>
      <c r="F570" t="s">
        <v>1890</v>
      </c>
      <c r="G570" t="s">
        <v>1891</v>
      </c>
      <c r="H570">
        <f t="shared" si="70"/>
        <v>6900000</v>
      </c>
      <c r="I570">
        <f t="shared" si="71"/>
        <v>429800</v>
      </c>
      <c r="J570">
        <f t="shared" si="72"/>
        <v>630400</v>
      </c>
      <c r="K570" s="2">
        <f t="shared" si="73"/>
        <v>6.2289855072463769E-2</v>
      </c>
      <c r="L570" t="str">
        <f t="shared" si="74"/>
        <v>Tier 1</v>
      </c>
    </row>
    <row r="571" spans="1:12" x14ac:dyDescent="0.35">
      <c r="A571" s="1" t="s">
        <v>1892</v>
      </c>
      <c r="B571">
        <v>583</v>
      </c>
      <c r="C571" t="s">
        <v>26</v>
      </c>
      <c r="D571" t="s">
        <v>104</v>
      </c>
      <c r="E571" t="s">
        <v>58</v>
      </c>
      <c r="F571" t="s">
        <v>1893</v>
      </c>
      <c r="G571" t="s">
        <v>90</v>
      </c>
      <c r="H571">
        <f t="shared" si="70"/>
        <v>3900000</v>
      </c>
      <c r="I571">
        <f t="shared" si="71"/>
        <v>863900</v>
      </c>
      <c r="J571">
        <f t="shared" si="72"/>
        <v>1100000</v>
      </c>
      <c r="K571" s="2">
        <f t="shared" si="73"/>
        <v>0.22151282051282051</v>
      </c>
      <c r="L571" t="str">
        <f t="shared" si="74"/>
        <v>Tier 1</v>
      </c>
    </row>
    <row r="572" spans="1:12" x14ac:dyDescent="0.35">
      <c r="A572" s="1" t="s">
        <v>1894</v>
      </c>
      <c r="B572">
        <v>584</v>
      </c>
      <c r="C572" t="s">
        <v>69</v>
      </c>
      <c r="D572" t="s">
        <v>78</v>
      </c>
      <c r="E572" t="s">
        <v>10</v>
      </c>
      <c r="F572" t="s">
        <v>1895</v>
      </c>
      <c r="G572" t="s">
        <v>1896</v>
      </c>
      <c r="H572">
        <f t="shared" si="70"/>
        <v>10400000</v>
      </c>
      <c r="I572">
        <f t="shared" si="71"/>
        <v>320200</v>
      </c>
      <c r="J572">
        <f t="shared" si="72"/>
        <v>408700</v>
      </c>
      <c r="K572" s="2">
        <f t="shared" si="73"/>
        <v>3.0788461538461539E-2</v>
      </c>
      <c r="L572" t="str">
        <f t="shared" si="74"/>
        <v>Tier 2</v>
      </c>
    </row>
    <row r="573" spans="1:12" x14ac:dyDescent="0.35">
      <c r="A573" s="1" t="s">
        <v>1897</v>
      </c>
      <c r="B573">
        <v>585</v>
      </c>
      <c r="C573" t="s">
        <v>26</v>
      </c>
      <c r="D573" t="s">
        <v>118</v>
      </c>
      <c r="E573" t="s">
        <v>16</v>
      </c>
      <c r="F573" t="s">
        <v>1898</v>
      </c>
      <c r="G573" t="s">
        <v>1899</v>
      </c>
      <c r="H573">
        <f t="shared" si="70"/>
        <v>6000000</v>
      </c>
      <c r="I573">
        <f t="shared" si="71"/>
        <v>379600</v>
      </c>
      <c r="J573">
        <f t="shared" si="72"/>
        <v>714300</v>
      </c>
      <c r="K573" s="2">
        <f t="shared" si="73"/>
        <v>6.3266666666666665E-2</v>
      </c>
      <c r="L573" t="str">
        <f t="shared" si="74"/>
        <v>Tier 1</v>
      </c>
    </row>
    <row r="574" spans="1:12" x14ac:dyDescent="0.35">
      <c r="A574" s="1" t="s">
        <v>1900</v>
      </c>
      <c r="B574">
        <v>586</v>
      </c>
      <c r="C574" t="s">
        <v>69</v>
      </c>
      <c r="D574" t="s">
        <v>810</v>
      </c>
      <c r="E574" t="s">
        <v>58</v>
      </c>
      <c r="F574" t="s">
        <v>1901</v>
      </c>
      <c r="G574" t="s">
        <v>1902</v>
      </c>
      <c r="H574">
        <f t="shared" si="70"/>
        <v>7600000</v>
      </c>
      <c r="I574">
        <f t="shared" si="71"/>
        <v>428000</v>
      </c>
      <c r="J574">
        <f t="shared" si="72"/>
        <v>563400</v>
      </c>
      <c r="K574" s="2">
        <f t="shared" si="73"/>
        <v>5.6315789473684208E-2</v>
      </c>
      <c r="L574" t="str">
        <f t="shared" si="74"/>
        <v>Tier 1</v>
      </c>
    </row>
    <row r="575" spans="1:12" x14ac:dyDescent="0.35">
      <c r="A575" s="1" t="s">
        <v>1903</v>
      </c>
      <c r="B575">
        <v>587</v>
      </c>
      <c r="C575" t="s">
        <v>834</v>
      </c>
      <c r="D575" t="s">
        <v>78</v>
      </c>
      <c r="E575" t="s">
        <v>22</v>
      </c>
      <c r="F575" t="s">
        <v>1904</v>
      </c>
      <c r="G575" t="s">
        <v>1905</v>
      </c>
      <c r="H575">
        <f t="shared" si="70"/>
        <v>10400000</v>
      </c>
      <c r="I575">
        <f t="shared" si="71"/>
        <v>355400</v>
      </c>
      <c r="J575">
        <f t="shared" si="72"/>
        <v>404700</v>
      </c>
      <c r="K575" s="2">
        <f t="shared" si="73"/>
        <v>3.4173076923076924E-2</v>
      </c>
      <c r="L575" t="str">
        <f t="shared" si="74"/>
        <v>Tier 2</v>
      </c>
    </row>
    <row r="576" spans="1:12" x14ac:dyDescent="0.35">
      <c r="A576" s="1" t="s">
        <v>1906</v>
      </c>
      <c r="B576">
        <v>588</v>
      </c>
      <c r="C576" t="s">
        <v>205</v>
      </c>
      <c r="D576" t="s">
        <v>1144</v>
      </c>
      <c r="E576" t="s">
        <v>42</v>
      </c>
      <c r="F576" t="s">
        <v>1907</v>
      </c>
      <c r="G576" t="s">
        <v>1908</v>
      </c>
      <c r="H576">
        <f t="shared" si="70"/>
        <v>20200000</v>
      </c>
      <c r="I576">
        <f t="shared" si="71"/>
        <v>151600</v>
      </c>
      <c r="J576">
        <f t="shared" si="72"/>
        <v>213100</v>
      </c>
      <c r="K576" s="2">
        <f t="shared" si="73"/>
        <v>7.5049504950495047E-3</v>
      </c>
      <c r="L576" t="str">
        <f t="shared" si="74"/>
        <v>Tier 2</v>
      </c>
    </row>
    <row r="577" spans="1:12" x14ac:dyDescent="0.35">
      <c r="A577" s="1" t="s">
        <v>1909</v>
      </c>
      <c r="B577">
        <v>589</v>
      </c>
      <c r="C577" t="s">
        <v>1193</v>
      </c>
      <c r="D577" t="s">
        <v>276</v>
      </c>
      <c r="E577" t="s">
        <v>22</v>
      </c>
      <c r="F577" t="s">
        <v>1910</v>
      </c>
      <c r="G577" t="s">
        <v>1911</v>
      </c>
      <c r="H577">
        <f t="shared" si="70"/>
        <v>23300000</v>
      </c>
      <c r="I577">
        <f t="shared" si="71"/>
        <v>135000</v>
      </c>
      <c r="J577">
        <f t="shared" si="72"/>
        <v>179700</v>
      </c>
      <c r="K577" s="2">
        <f t="shared" si="73"/>
        <v>5.7939914163090125E-3</v>
      </c>
      <c r="L577" t="str">
        <f t="shared" si="74"/>
        <v>Tier 2</v>
      </c>
    </row>
    <row r="578" spans="1:12" x14ac:dyDescent="0.35">
      <c r="A578" s="1" t="s">
        <v>1912</v>
      </c>
      <c r="B578">
        <v>590</v>
      </c>
      <c r="C578" t="s">
        <v>572</v>
      </c>
      <c r="D578" t="s">
        <v>807</v>
      </c>
      <c r="E578" t="s">
        <v>22</v>
      </c>
      <c r="F578" t="s">
        <v>1913</v>
      </c>
      <c r="G578" t="s">
        <v>864</v>
      </c>
      <c r="H578">
        <f t="shared" si="70"/>
        <v>12900000</v>
      </c>
      <c r="I578">
        <f t="shared" si="71"/>
        <v>223300</v>
      </c>
      <c r="J578">
        <f t="shared" si="72"/>
        <v>324200</v>
      </c>
      <c r="K578" s="2">
        <f t="shared" si="73"/>
        <v>1.7310077519379845E-2</v>
      </c>
      <c r="L578" t="str">
        <f t="shared" si="74"/>
        <v>Tier 2</v>
      </c>
    </row>
    <row r="579" spans="1:12" x14ac:dyDescent="0.35">
      <c r="A579" s="1" t="s">
        <v>1914</v>
      </c>
      <c r="B579">
        <v>591</v>
      </c>
      <c r="C579" t="s">
        <v>26</v>
      </c>
      <c r="D579" t="s">
        <v>1101</v>
      </c>
      <c r="E579" t="s">
        <v>22</v>
      </c>
      <c r="F579" t="s">
        <v>1915</v>
      </c>
      <c r="G579" t="s">
        <v>1916</v>
      </c>
      <c r="H579">
        <f t="shared" si="70"/>
        <v>11600000</v>
      </c>
      <c r="I579">
        <f t="shared" si="71"/>
        <v>201400</v>
      </c>
      <c r="J579">
        <f t="shared" si="72"/>
        <v>361200</v>
      </c>
      <c r="K579" s="2">
        <f t="shared" si="73"/>
        <v>1.736206896551724E-2</v>
      </c>
      <c r="L579" t="str">
        <f t="shared" si="74"/>
        <v>Tier 2</v>
      </c>
    </row>
    <row r="580" spans="1:12" x14ac:dyDescent="0.35">
      <c r="A580" s="1" t="s">
        <v>1917</v>
      </c>
      <c r="B580">
        <v>592</v>
      </c>
      <c r="C580" t="s">
        <v>8</v>
      </c>
      <c r="D580" t="s">
        <v>699</v>
      </c>
      <c r="E580" t="s">
        <v>1102</v>
      </c>
      <c r="F580" t="s">
        <v>1918</v>
      </c>
      <c r="G580" t="s">
        <v>1919</v>
      </c>
      <c r="H580">
        <f t="shared" si="70"/>
        <v>12300000</v>
      </c>
      <c r="I580">
        <f t="shared" si="71"/>
        <v>238500</v>
      </c>
      <c r="J580">
        <f t="shared" si="72"/>
        <v>338600</v>
      </c>
      <c r="K580" s="2">
        <f t="shared" si="73"/>
        <v>1.9390243902439024E-2</v>
      </c>
      <c r="L580" t="str">
        <f t="shared" si="74"/>
        <v>Tier 2</v>
      </c>
    </row>
    <row r="581" spans="1:12" x14ac:dyDescent="0.35">
      <c r="A581" s="1" t="s">
        <v>1920</v>
      </c>
      <c r="B581">
        <v>593</v>
      </c>
      <c r="C581" t="s">
        <v>8</v>
      </c>
      <c r="D581" t="s">
        <v>1921</v>
      </c>
      <c r="E581" t="s">
        <v>279</v>
      </c>
      <c r="F581" t="s">
        <v>1922</v>
      </c>
      <c r="G581" t="s">
        <v>1650</v>
      </c>
      <c r="H581">
        <f t="shared" si="70"/>
        <v>10600000</v>
      </c>
      <c r="I581">
        <f t="shared" si="71"/>
        <v>262400</v>
      </c>
      <c r="J581">
        <f t="shared" si="72"/>
        <v>393900</v>
      </c>
      <c r="K581" s="2">
        <f t="shared" si="73"/>
        <v>2.4754716981132074E-2</v>
      </c>
      <c r="L581" t="str">
        <f t="shared" si="74"/>
        <v>Tier 2</v>
      </c>
    </row>
    <row r="582" spans="1:12" x14ac:dyDescent="0.35">
      <c r="A582" s="1" t="s">
        <v>1923</v>
      </c>
      <c r="B582">
        <v>594</v>
      </c>
      <c r="C582" t="s">
        <v>76</v>
      </c>
      <c r="D582" t="s">
        <v>1383</v>
      </c>
      <c r="E582" t="s">
        <v>141</v>
      </c>
      <c r="F582" t="s">
        <v>1924</v>
      </c>
      <c r="G582" t="s">
        <v>1925</v>
      </c>
      <c r="H582">
        <f t="shared" si="70"/>
        <v>6400000</v>
      </c>
      <c r="I582">
        <f t="shared" si="71"/>
        <v>525700</v>
      </c>
      <c r="J582">
        <f t="shared" si="72"/>
        <v>660200</v>
      </c>
      <c r="K582" s="2">
        <f t="shared" si="73"/>
        <v>8.2140624999999995E-2</v>
      </c>
      <c r="L582" t="str">
        <f t="shared" si="74"/>
        <v>Tier 1</v>
      </c>
    </row>
    <row r="583" spans="1:12" x14ac:dyDescent="0.35">
      <c r="A583" s="1" t="s">
        <v>1926</v>
      </c>
      <c r="B583">
        <v>595</v>
      </c>
      <c r="C583" t="s">
        <v>1927</v>
      </c>
      <c r="D583" t="s">
        <v>303</v>
      </c>
      <c r="E583" t="s">
        <v>22</v>
      </c>
      <c r="F583" t="s">
        <v>1308</v>
      </c>
      <c r="G583" t="s">
        <v>1928</v>
      </c>
      <c r="H583">
        <f t="shared" si="70"/>
        <v>32299999.999999996</v>
      </c>
      <c r="I583">
        <f t="shared" si="71"/>
        <v>95700</v>
      </c>
      <c r="J583">
        <f t="shared" si="72"/>
        <v>129199.99999999999</v>
      </c>
      <c r="K583" s="2">
        <f t="shared" si="73"/>
        <v>2.9628482972136228E-3</v>
      </c>
      <c r="L583" t="str">
        <f t="shared" si="74"/>
        <v>Tier 2</v>
      </c>
    </row>
    <row r="584" spans="1:12" hidden="1" x14ac:dyDescent="0.35">
      <c r="A584" s="1" t="s">
        <v>1929</v>
      </c>
      <c r="B584">
        <v>596</v>
      </c>
      <c r="C584" t="s">
        <v>26</v>
      </c>
      <c r="D584" t="s">
        <v>1930</v>
      </c>
      <c r="F584">
        <v>0</v>
      </c>
      <c r="G584" t="s">
        <v>434</v>
      </c>
      <c r="K584"/>
    </row>
    <row r="585" spans="1:12" x14ac:dyDescent="0.35">
      <c r="A585" s="1" t="s">
        <v>1931</v>
      </c>
      <c r="B585">
        <v>597</v>
      </c>
      <c r="C585" t="s">
        <v>69</v>
      </c>
      <c r="D585" t="s">
        <v>1624</v>
      </c>
      <c r="E585" t="s">
        <v>10</v>
      </c>
      <c r="F585" t="s">
        <v>1932</v>
      </c>
      <c r="G585" t="s">
        <v>1933</v>
      </c>
      <c r="H585">
        <f t="shared" ref="H585:H648" si="75">IF(RIGHT(D585,1)="M", VALUE(SUBSTITUTE(D585,"M",""))*1000000, VALUE(SUBSTITUTE(D585,"K",""))*1000)</f>
        <v>8600000</v>
      </c>
      <c r="I585">
        <f t="shared" ref="I585:I648" si="76">IF(RIGHT(F585,1)="M", VALUE(SUBSTITUTE(F585,"M",""))*1000000, VALUE(SUBSTITUTE(F585,"K",""))*1000)</f>
        <v>434200</v>
      </c>
      <c r="J585">
        <f t="shared" ref="J585:J648" si="77">IF(RIGHT(G585,1)="M", VALUE(SUBSTITUTE(G585,"M",""))*1000000, VALUE(SUBSTITUTE(G585,"K",""))*1000)</f>
        <v>486000</v>
      </c>
      <c r="K585" s="2">
        <f t="shared" ref="K585:K648" si="78">I585/H585</f>
        <v>5.0488372093023252E-2</v>
      </c>
      <c r="L585" t="str">
        <f t="shared" ref="L585:L648" si="79">IF(H585&lt;10000000,"Tier 1",
 IF(H585&lt;50000000,"Tier 2",
 IF(H585&lt;100000000,"Tier 3",
 "Tier 4")))</f>
        <v>Tier 1</v>
      </c>
    </row>
    <row r="586" spans="1:12" x14ac:dyDescent="0.35">
      <c r="A586" s="1" t="s">
        <v>1934</v>
      </c>
      <c r="B586">
        <v>598</v>
      </c>
      <c r="C586" t="s">
        <v>1594</v>
      </c>
      <c r="D586" t="s">
        <v>606</v>
      </c>
      <c r="E586" t="s">
        <v>22</v>
      </c>
      <c r="F586" t="s">
        <v>1935</v>
      </c>
      <c r="G586" t="s">
        <v>1936</v>
      </c>
      <c r="H586">
        <f t="shared" si="75"/>
        <v>18900000</v>
      </c>
      <c r="I586">
        <f t="shared" si="76"/>
        <v>160800</v>
      </c>
      <c r="J586">
        <f t="shared" si="77"/>
        <v>216900</v>
      </c>
      <c r="K586" s="2">
        <f t="shared" si="78"/>
        <v>8.5079365079365078E-3</v>
      </c>
      <c r="L586" t="str">
        <f t="shared" si="79"/>
        <v>Tier 2</v>
      </c>
    </row>
    <row r="587" spans="1:12" x14ac:dyDescent="0.35">
      <c r="A587" s="1" t="s">
        <v>1937</v>
      </c>
      <c r="B587">
        <v>599</v>
      </c>
      <c r="C587" t="s">
        <v>69</v>
      </c>
      <c r="D587" t="s">
        <v>352</v>
      </c>
      <c r="E587" t="s">
        <v>22</v>
      </c>
      <c r="F587" t="s">
        <v>1938</v>
      </c>
      <c r="G587" t="s">
        <v>1939</v>
      </c>
      <c r="H587">
        <f t="shared" si="75"/>
        <v>9600000</v>
      </c>
      <c r="I587">
        <f t="shared" si="76"/>
        <v>336900</v>
      </c>
      <c r="J587">
        <f t="shared" si="77"/>
        <v>438300</v>
      </c>
      <c r="K587" s="2">
        <f t="shared" si="78"/>
        <v>3.509375E-2</v>
      </c>
      <c r="L587" t="str">
        <f t="shared" si="79"/>
        <v>Tier 1</v>
      </c>
    </row>
    <row r="588" spans="1:12" x14ac:dyDescent="0.35">
      <c r="A588" s="1" t="s">
        <v>1940</v>
      </c>
      <c r="B588">
        <v>600</v>
      </c>
      <c r="C588" t="s">
        <v>26</v>
      </c>
      <c r="D588" t="s">
        <v>115</v>
      </c>
      <c r="E588" t="s">
        <v>42</v>
      </c>
      <c r="F588" t="s">
        <v>1941</v>
      </c>
      <c r="G588" t="s">
        <v>1942</v>
      </c>
      <c r="H588">
        <f t="shared" si="75"/>
        <v>6900000</v>
      </c>
      <c r="I588">
        <f t="shared" si="76"/>
        <v>463300</v>
      </c>
      <c r="J588">
        <f t="shared" si="77"/>
        <v>607300</v>
      </c>
      <c r="K588" s="2">
        <f t="shared" si="78"/>
        <v>6.7144927536231885E-2</v>
      </c>
      <c r="L588" t="str">
        <f t="shared" si="79"/>
        <v>Tier 1</v>
      </c>
    </row>
    <row r="589" spans="1:12" x14ac:dyDescent="0.35">
      <c r="A589" s="1" t="s">
        <v>1943</v>
      </c>
      <c r="B589">
        <v>603</v>
      </c>
      <c r="C589" t="s">
        <v>69</v>
      </c>
      <c r="D589" t="s">
        <v>148</v>
      </c>
      <c r="E589" t="s">
        <v>141</v>
      </c>
      <c r="F589" t="s">
        <v>1944</v>
      </c>
      <c r="G589" t="s">
        <v>1945</v>
      </c>
      <c r="H589">
        <f t="shared" si="75"/>
        <v>5400000</v>
      </c>
      <c r="I589">
        <f t="shared" si="76"/>
        <v>688600</v>
      </c>
      <c r="J589">
        <f t="shared" si="77"/>
        <v>771800</v>
      </c>
      <c r="K589" s="2">
        <f t="shared" si="78"/>
        <v>0.12751851851851853</v>
      </c>
      <c r="L589" t="str">
        <f t="shared" si="79"/>
        <v>Tier 1</v>
      </c>
    </row>
    <row r="590" spans="1:12" x14ac:dyDescent="0.35">
      <c r="A590" s="1" t="s">
        <v>1946</v>
      </c>
      <c r="B590">
        <v>604</v>
      </c>
      <c r="D590" t="s">
        <v>1316</v>
      </c>
      <c r="E590" t="s">
        <v>42</v>
      </c>
      <c r="F590" t="s">
        <v>1947</v>
      </c>
      <c r="G590" t="s">
        <v>1948</v>
      </c>
      <c r="H590">
        <f t="shared" si="75"/>
        <v>7900000</v>
      </c>
      <c r="I590">
        <f t="shared" si="76"/>
        <v>387200</v>
      </c>
      <c r="J590">
        <f t="shared" si="77"/>
        <v>528600</v>
      </c>
      <c r="K590" s="2">
        <f t="shared" si="78"/>
        <v>4.9012658227848102E-2</v>
      </c>
      <c r="L590" t="str">
        <f t="shared" si="79"/>
        <v>Tier 1</v>
      </c>
    </row>
    <row r="591" spans="1:12" x14ac:dyDescent="0.35">
      <c r="A591" s="1" t="s">
        <v>1949</v>
      </c>
      <c r="B591">
        <v>605</v>
      </c>
      <c r="C591" t="s">
        <v>26</v>
      </c>
      <c r="D591" t="s">
        <v>1167</v>
      </c>
      <c r="E591" t="s">
        <v>58</v>
      </c>
      <c r="F591" t="s">
        <v>1950</v>
      </c>
      <c r="G591" t="s">
        <v>1951</v>
      </c>
      <c r="H591">
        <f t="shared" si="75"/>
        <v>13400000</v>
      </c>
      <c r="I591">
        <f t="shared" si="76"/>
        <v>269600</v>
      </c>
      <c r="J591">
        <f t="shared" si="77"/>
        <v>304700</v>
      </c>
      <c r="K591" s="2">
        <f t="shared" si="78"/>
        <v>2.0119402985074628E-2</v>
      </c>
      <c r="L591" t="str">
        <f t="shared" si="79"/>
        <v>Tier 2</v>
      </c>
    </row>
    <row r="592" spans="1:12" x14ac:dyDescent="0.35">
      <c r="A592" s="1" t="s">
        <v>1952</v>
      </c>
      <c r="B592">
        <v>606</v>
      </c>
      <c r="C592" t="s">
        <v>69</v>
      </c>
      <c r="D592" t="s">
        <v>620</v>
      </c>
      <c r="E592" t="s">
        <v>22</v>
      </c>
      <c r="F592" t="s">
        <v>1953</v>
      </c>
      <c r="G592" t="s">
        <v>1954</v>
      </c>
      <c r="H592">
        <f t="shared" si="75"/>
        <v>8500000</v>
      </c>
      <c r="I592">
        <f t="shared" si="76"/>
        <v>318500</v>
      </c>
      <c r="J592">
        <f t="shared" si="77"/>
        <v>483300</v>
      </c>
      <c r="K592" s="2">
        <f t="shared" si="78"/>
        <v>3.7470588235294117E-2</v>
      </c>
      <c r="L592" t="str">
        <f t="shared" si="79"/>
        <v>Tier 1</v>
      </c>
    </row>
    <row r="593" spans="1:12" x14ac:dyDescent="0.35">
      <c r="A593" s="1" t="s">
        <v>1955</v>
      </c>
      <c r="B593">
        <v>607</v>
      </c>
      <c r="C593" t="s">
        <v>8</v>
      </c>
      <c r="D593" t="s">
        <v>1956</v>
      </c>
      <c r="E593" t="s">
        <v>1102</v>
      </c>
      <c r="F593" t="s">
        <v>1957</v>
      </c>
      <c r="G593" t="s">
        <v>1958</v>
      </c>
      <c r="H593">
        <f t="shared" si="75"/>
        <v>57900000</v>
      </c>
      <c r="I593">
        <f t="shared" si="76"/>
        <v>47800</v>
      </c>
      <c r="J593">
        <f t="shared" si="77"/>
        <v>69800</v>
      </c>
      <c r="K593" s="2">
        <f t="shared" si="78"/>
        <v>8.2556131260794479E-4</v>
      </c>
      <c r="L593" t="str">
        <f t="shared" si="79"/>
        <v>Tier 3</v>
      </c>
    </row>
    <row r="594" spans="1:12" x14ac:dyDescent="0.35">
      <c r="A594" s="1" t="s">
        <v>1959</v>
      </c>
      <c r="B594">
        <v>608</v>
      </c>
      <c r="C594" t="s">
        <v>1062</v>
      </c>
      <c r="D594" t="s">
        <v>1517</v>
      </c>
      <c r="E594" t="s">
        <v>22</v>
      </c>
      <c r="F594" t="s">
        <v>1960</v>
      </c>
      <c r="G594" t="s">
        <v>1961</v>
      </c>
      <c r="H594">
        <f t="shared" si="75"/>
        <v>7400000</v>
      </c>
      <c r="I594">
        <f t="shared" si="76"/>
        <v>324500</v>
      </c>
      <c r="J594">
        <f t="shared" si="77"/>
        <v>558000</v>
      </c>
      <c r="K594" s="2">
        <f t="shared" si="78"/>
        <v>4.3851351351351354E-2</v>
      </c>
      <c r="L594" t="str">
        <f t="shared" si="79"/>
        <v>Tier 1</v>
      </c>
    </row>
    <row r="595" spans="1:12" x14ac:dyDescent="0.35">
      <c r="A595" s="1" t="s">
        <v>1962</v>
      </c>
      <c r="B595">
        <v>611</v>
      </c>
      <c r="C595" t="s">
        <v>69</v>
      </c>
      <c r="D595" t="s">
        <v>33</v>
      </c>
      <c r="E595" t="s">
        <v>22</v>
      </c>
      <c r="F595" t="s">
        <v>1963</v>
      </c>
      <c r="G595" t="s">
        <v>1964</v>
      </c>
      <c r="H595">
        <f t="shared" si="75"/>
        <v>4300000</v>
      </c>
      <c r="I595">
        <f t="shared" si="76"/>
        <v>570100</v>
      </c>
      <c r="J595">
        <f t="shared" si="77"/>
        <v>944600</v>
      </c>
      <c r="K595" s="2">
        <f t="shared" si="78"/>
        <v>0.1325813953488372</v>
      </c>
      <c r="L595" t="str">
        <f t="shared" si="79"/>
        <v>Tier 1</v>
      </c>
    </row>
    <row r="596" spans="1:12" x14ac:dyDescent="0.35">
      <c r="A596" s="1" t="s">
        <v>1965</v>
      </c>
      <c r="B596">
        <v>612</v>
      </c>
      <c r="C596" t="s">
        <v>8</v>
      </c>
      <c r="D596" t="s">
        <v>1966</v>
      </c>
      <c r="E596" t="s">
        <v>1643</v>
      </c>
      <c r="F596" t="s">
        <v>1967</v>
      </c>
      <c r="G596" t="s">
        <v>1968</v>
      </c>
      <c r="H596">
        <f t="shared" si="75"/>
        <v>34200000</v>
      </c>
      <c r="I596">
        <f t="shared" si="76"/>
        <v>85800</v>
      </c>
      <c r="J596">
        <f t="shared" si="77"/>
        <v>117100</v>
      </c>
      <c r="K596" s="2">
        <f t="shared" si="78"/>
        <v>2.5087719298245614E-3</v>
      </c>
      <c r="L596" t="str">
        <f t="shared" si="79"/>
        <v>Tier 2</v>
      </c>
    </row>
    <row r="597" spans="1:12" x14ac:dyDescent="0.35">
      <c r="A597" s="1" t="s">
        <v>1969</v>
      </c>
      <c r="B597">
        <v>613</v>
      </c>
      <c r="C597" t="s">
        <v>69</v>
      </c>
      <c r="D597" t="s">
        <v>433</v>
      </c>
      <c r="E597" t="s">
        <v>22</v>
      </c>
      <c r="F597" t="s">
        <v>1970</v>
      </c>
      <c r="G597" t="s">
        <v>1971</v>
      </c>
      <c r="H597">
        <f t="shared" si="75"/>
        <v>23400000</v>
      </c>
      <c r="I597">
        <f t="shared" si="76"/>
        <v>114900</v>
      </c>
      <c r="J597">
        <f t="shared" si="77"/>
        <v>171000</v>
      </c>
      <c r="K597" s="2">
        <f t="shared" si="78"/>
        <v>4.9102564102564104E-3</v>
      </c>
      <c r="L597" t="str">
        <f t="shared" si="79"/>
        <v>Tier 2</v>
      </c>
    </row>
    <row r="598" spans="1:12" x14ac:dyDescent="0.35">
      <c r="A598" s="1" t="s">
        <v>1972</v>
      </c>
      <c r="B598">
        <v>614</v>
      </c>
      <c r="C598" t="s">
        <v>69</v>
      </c>
      <c r="D598" t="s">
        <v>1831</v>
      </c>
      <c r="E598" t="s">
        <v>58</v>
      </c>
      <c r="F598" t="s">
        <v>1973</v>
      </c>
      <c r="G598" t="s">
        <v>1974</v>
      </c>
      <c r="H598">
        <f t="shared" si="75"/>
        <v>6100000</v>
      </c>
      <c r="I598">
        <f t="shared" si="76"/>
        <v>495500</v>
      </c>
      <c r="J598">
        <f t="shared" si="77"/>
        <v>666300</v>
      </c>
      <c r="K598" s="2">
        <f t="shared" si="78"/>
        <v>8.1229508196721312E-2</v>
      </c>
      <c r="L598" t="str">
        <f t="shared" si="79"/>
        <v>Tier 1</v>
      </c>
    </row>
    <row r="599" spans="1:12" x14ac:dyDescent="0.35">
      <c r="A599" s="1" t="s">
        <v>1975</v>
      </c>
      <c r="B599">
        <v>615</v>
      </c>
      <c r="C599" t="s">
        <v>1976</v>
      </c>
      <c r="D599" t="s">
        <v>945</v>
      </c>
      <c r="E599" t="s">
        <v>141</v>
      </c>
      <c r="F599" t="s">
        <v>1977</v>
      </c>
      <c r="G599" t="s">
        <v>1978</v>
      </c>
      <c r="H599">
        <f t="shared" si="75"/>
        <v>8199999.9999999991</v>
      </c>
      <c r="I599">
        <f t="shared" si="76"/>
        <v>434700</v>
      </c>
      <c r="J599">
        <f t="shared" si="77"/>
        <v>485500</v>
      </c>
      <c r="K599" s="2">
        <f t="shared" si="78"/>
        <v>5.3012195121951225E-2</v>
      </c>
      <c r="L599" t="str">
        <f t="shared" si="79"/>
        <v>Tier 1</v>
      </c>
    </row>
    <row r="600" spans="1:12" x14ac:dyDescent="0.35">
      <c r="A600" s="1" t="s">
        <v>1979</v>
      </c>
      <c r="B600">
        <v>616</v>
      </c>
      <c r="C600" t="s">
        <v>69</v>
      </c>
      <c r="D600" t="s">
        <v>812</v>
      </c>
      <c r="E600" t="s">
        <v>10</v>
      </c>
      <c r="F600" t="s">
        <v>1980</v>
      </c>
      <c r="G600" t="s">
        <v>1799</v>
      </c>
      <c r="H600">
        <f t="shared" si="75"/>
        <v>8700000</v>
      </c>
      <c r="I600">
        <f t="shared" si="76"/>
        <v>419800</v>
      </c>
      <c r="J600">
        <f t="shared" si="77"/>
        <v>461900</v>
      </c>
      <c r="K600" s="2">
        <f t="shared" si="78"/>
        <v>4.825287356321839E-2</v>
      </c>
      <c r="L600" t="str">
        <f t="shared" si="79"/>
        <v>Tier 1</v>
      </c>
    </row>
    <row r="601" spans="1:12" x14ac:dyDescent="0.35">
      <c r="A601" s="1" t="s">
        <v>1981</v>
      </c>
      <c r="B601">
        <v>618</v>
      </c>
      <c r="C601" t="s">
        <v>26</v>
      </c>
      <c r="D601" t="s">
        <v>148</v>
      </c>
      <c r="E601" t="s">
        <v>22</v>
      </c>
      <c r="F601" t="s">
        <v>1982</v>
      </c>
      <c r="G601" t="s">
        <v>1983</v>
      </c>
      <c r="H601">
        <f t="shared" si="75"/>
        <v>5400000</v>
      </c>
      <c r="I601">
        <f t="shared" si="76"/>
        <v>428600</v>
      </c>
      <c r="J601">
        <f t="shared" si="77"/>
        <v>745400</v>
      </c>
      <c r="K601" s="2">
        <f t="shared" si="78"/>
        <v>7.9370370370370369E-2</v>
      </c>
      <c r="L601" t="str">
        <f t="shared" si="79"/>
        <v>Tier 1</v>
      </c>
    </row>
    <row r="602" spans="1:12" x14ac:dyDescent="0.35">
      <c r="A602" s="1" t="s">
        <v>1984</v>
      </c>
      <c r="B602">
        <v>619</v>
      </c>
      <c r="C602" t="s">
        <v>20</v>
      </c>
      <c r="D602" t="s">
        <v>699</v>
      </c>
      <c r="E602" t="s">
        <v>58</v>
      </c>
      <c r="F602" t="s">
        <v>1985</v>
      </c>
      <c r="G602" t="s">
        <v>1986</v>
      </c>
      <c r="H602">
        <f t="shared" si="75"/>
        <v>12300000</v>
      </c>
      <c r="I602">
        <f t="shared" si="76"/>
        <v>255700</v>
      </c>
      <c r="J602">
        <f t="shared" si="77"/>
        <v>320300</v>
      </c>
      <c r="K602" s="2">
        <f t="shared" si="78"/>
        <v>2.0788617886178862E-2</v>
      </c>
      <c r="L602" t="str">
        <f t="shared" si="79"/>
        <v>Tier 2</v>
      </c>
    </row>
    <row r="603" spans="1:12" x14ac:dyDescent="0.35">
      <c r="A603" s="1" t="s">
        <v>1987</v>
      </c>
      <c r="B603">
        <v>620</v>
      </c>
      <c r="C603" t="s">
        <v>8</v>
      </c>
      <c r="D603" t="s">
        <v>1988</v>
      </c>
      <c r="E603" t="s">
        <v>10</v>
      </c>
      <c r="F603" t="s">
        <v>1989</v>
      </c>
      <c r="G603" t="s">
        <v>1990</v>
      </c>
      <c r="H603">
        <f t="shared" si="75"/>
        <v>54000000</v>
      </c>
      <c r="I603">
        <f t="shared" si="76"/>
        <v>48400</v>
      </c>
      <c r="J603">
        <f t="shared" si="77"/>
        <v>72300</v>
      </c>
      <c r="K603" s="2">
        <f t="shared" si="78"/>
        <v>8.9629629629629629E-4</v>
      </c>
      <c r="L603" t="str">
        <f t="shared" si="79"/>
        <v>Tier 3</v>
      </c>
    </row>
    <row r="604" spans="1:12" x14ac:dyDescent="0.35">
      <c r="A604" s="1" t="s">
        <v>1991</v>
      </c>
      <c r="B604">
        <v>621</v>
      </c>
      <c r="C604" t="s">
        <v>69</v>
      </c>
      <c r="D604" t="s">
        <v>104</v>
      </c>
      <c r="E604" t="s">
        <v>58</v>
      </c>
      <c r="F604" t="s">
        <v>1992</v>
      </c>
      <c r="G604" t="s">
        <v>434</v>
      </c>
      <c r="H604">
        <f t="shared" si="75"/>
        <v>3900000</v>
      </c>
      <c r="I604">
        <f t="shared" si="76"/>
        <v>768100</v>
      </c>
      <c r="J604">
        <f t="shared" si="77"/>
        <v>1000000</v>
      </c>
      <c r="K604" s="2">
        <f t="shared" si="78"/>
        <v>0.19694871794871796</v>
      </c>
      <c r="L604" t="str">
        <f t="shared" si="79"/>
        <v>Tier 1</v>
      </c>
    </row>
    <row r="605" spans="1:12" x14ac:dyDescent="0.35">
      <c r="A605" s="1" t="s">
        <v>1993</v>
      </c>
      <c r="B605">
        <v>622</v>
      </c>
      <c r="C605" t="s">
        <v>590</v>
      </c>
      <c r="D605" t="s">
        <v>905</v>
      </c>
      <c r="E605" t="s">
        <v>42</v>
      </c>
      <c r="F605" t="s">
        <v>1994</v>
      </c>
      <c r="G605" t="s">
        <v>1674</v>
      </c>
      <c r="H605">
        <f t="shared" si="75"/>
        <v>14200000</v>
      </c>
      <c r="I605">
        <f t="shared" si="76"/>
        <v>219500</v>
      </c>
      <c r="J605">
        <f t="shared" si="77"/>
        <v>275900</v>
      </c>
      <c r="K605" s="2">
        <f t="shared" si="78"/>
        <v>1.5457746478873239E-2</v>
      </c>
      <c r="L605" t="str">
        <f t="shared" si="79"/>
        <v>Tier 2</v>
      </c>
    </row>
    <row r="606" spans="1:12" x14ac:dyDescent="0.35">
      <c r="A606" s="1" t="s">
        <v>1995</v>
      </c>
      <c r="B606">
        <v>623</v>
      </c>
      <c r="C606" t="s">
        <v>1996</v>
      </c>
      <c r="D606" t="s">
        <v>63</v>
      </c>
      <c r="E606" t="s">
        <v>42</v>
      </c>
      <c r="F606" t="s">
        <v>1997</v>
      </c>
      <c r="G606" t="s">
        <v>1998</v>
      </c>
      <c r="H606">
        <f t="shared" si="75"/>
        <v>7000000</v>
      </c>
      <c r="I606">
        <f t="shared" si="76"/>
        <v>228500</v>
      </c>
      <c r="J606">
        <f t="shared" si="77"/>
        <v>574000</v>
      </c>
      <c r="K606" s="2">
        <f t="shared" si="78"/>
        <v>3.264285714285714E-2</v>
      </c>
      <c r="L606" t="str">
        <f t="shared" si="79"/>
        <v>Tier 1</v>
      </c>
    </row>
    <row r="607" spans="1:12" x14ac:dyDescent="0.35">
      <c r="A607" s="1" t="s">
        <v>1999</v>
      </c>
      <c r="B607">
        <v>624</v>
      </c>
      <c r="C607" t="s">
        <v>76</v>
      </c>
      <c r="D607" t="s">
        <v>742</v>
      </c>
      <c r="E607" t="s">
        <v>2000</v>
      </c>
      <c r="F607" t="s">
        <v>2001</v>
      </c>
      <c r="G607" t="s">
        <v>2002</v>
      </c>
      <c r="H607">
        <f t="shared" si="75"/>
        <v>9000000</v>
      </c>
      <c r="I607">
        <f t="shared" si="76"/>
        <v>362000</v>
      </c>
      <c r="J607">
        <f t="shared" si="77"/>
        <v>442000</v>
      </c>
      <c r="K607" s="2">
        <f t="shared" si="78"/>
        <v>4.0222222222222222E-2</v>
      </c>
      <c r="L607" t="str">
        <f t="shared" si="79"/>
        <v>Tier 1</v>
      </c>
    </row>
    <row r="608" spans="1:12" x14ac:dyDescent="0.35">
      <c r="A608" s="1" t="s">
        <v>2003</v>
      </c>
      <c r="B608">
        <v>625</v>
      </c>
      <c r="C608" t="s">
        <v>26</v>
      </c>
      <c r="D608" t="s">
        <v>1430</v>
      </c>
      <c r="E608" t="s">
        <v>22</v>
      </c>
      <c r="F608" t="s">
        <v>2004</v>
      </c>
      <c r="G608" t="s">
        <v>2005</v>
      </c>
      <c r="H608">
        <f t="shared" si="75"/>
        <v>16399999.999999998</v>
      </c>
      <c r="I608">
        <f t="shared" si="76"/>
        <v>125700</v>
      </c>
      <c r="J608">
        <f t="shared" si="77"/>
        <v>236200</v>
      </c>
      <c r="K608" s="2">
        <f t="shared" si="78"/>
        <v>7.6646341463414642E-3</v>
      </c>
      <c r="L608" t="str">
        <f t="shared" si="79"/>
        <v>Tier 2</v>
      </c>
    </row>
    <row r="609" spans="1:12" x14ac:dyDescent="0.35">
      <c r="A609" s="1" t="s">
        <v>2006</v>
      </c>
      <c r="B609">
        <v>626</v>
      </c>
      <c r="D609" t="s">
        <v>344</v>
      </c>
      <c r="E609" t="s">
        <v>195</v>
      </c>
      <c r="F609" t="s">
        <v>2007</v>
      </c>
      <c r="G609" t="s">
        <v>2008</v>
      </c>
      <c r="H609">
        <f t="shared" si="75"/>
        <v>20000000</v>
      </c>
      <c r="I609">
        <f t="shared" si="76"/>
        <v>144500</v>
      </c>
      <c r="J609">
        <f t="shared" si="77"/>
        <v>195200</v>
      </c>
      <c r="K609" s="2">
        <f t="shared" si="78"/>
        <v>7.2249999999999997E-3</v>
      </c>
      <c r="L609" t="str">
        <f t="shared" si="79"/>
        <v>Tier 2</v>
      </c>
    </row>
    <row r="610" spans="1:12" x14ac:dyDescent="0.35">
      <c r="A610" s="1" t="s">
        <v>2009</v>
      </c>
      <c r="B610">
        <v>627</v>
      </c>
      <c r="C610" t="s">
        <v>26</v>
      </c>
      <c r="D610" t="s">
        <v>59</v>
      </c>
      <c r="E610" t="s">
        <v>22</v>
      </c>
      <c r="F610" t="s">
        <v>2010</v>
      </c>
      <c r="G610" t="s">
        <v>1507</v>
      </c>
      <c r="H610">
        <f t="shared" si="75"/>
        <v>6300000</v>
      </c>
      <c r="I610">
        <f t="shared" si="76"/>
        <v>511300</v>
      </c>
      <c r="J610">
        <f t="shared" si="77"/>
        <v>624900</v>
      </c>
      <c r="K610" s="2">
        <f t="shared" si="78"/>
        <v>8.1158730158730152E-2</v>
      </c>
      <c r="L610" t="str">
        <f t="shared" si="79"/>
        <v>Tier 1</v>
      </c>
    </row>
    <row r="611" spans="1:12" x14ac:dyDescent="0.35">
      <c r="A611" s="1" t="s">
        <v>2011</v>
      </c>
      <c r="B611">
        <v>628</v>
      </c>
      <c r="C611" t="s">
        <v>26</v>
      </c>
      <c r="D611" t="s">
        <v>1505</v>
      </c>
      <c r="E611" t="s">
        <v>10</v>
      </c>
      <c r="F611" t="s">
        <v>2012</v>
      </c>
      <c r="G611" t="s">
        <v>2013</v>
      </c>
      <c r="H611">
        <f t="shared" si="75"/>
        <v>9500000</v>
      </c>
      <c r="I611">
        <f t="shared" si="76"/>
        <v>345000</v>
      </c>
      <c r="J611">
        <f t="shared" si="77"/>
        <v>409900</v>
      </c>
      <c r="K611" s="2">
        <f t="shared" si="78"/>
        <v>3.6315789473684211E-2</v>
      </c>
      <c r="L611" t="str">
        <f t="shared" si="79"/>
        <v>Tier 1</v>
      </c>
    </row>
    <row r="612" spans="1:12" x14ac:dyDescent="0.35">
      <c r="A612" s="1" t="s">
        <v>2014</v>
      </c>
      <c r="B612">
        <v>629</v>
      </c>
      <c r="C612" t="s">
        <v>2015</v>
      </c>
      <c r="D612" t="s">
        <v>802</v>
      </c>
      <c r="E612" t="s">
        <v>10</v>
      </c>
      <c r="F612" t="s">
        <v>2016</v>
      </c>
      <c r="G612" t="s">
        <v>2017</v>
      </c>
      <c r="H612">
        <f t="shared" si="75"/>
        <v>9400000</v>
      </c>
      <c r="I612">
        <f t="shared" si="76"/>
        <v>333600</v>
      </c>
      <c r="J612">
        <f t="shared" si="77"/>
        <v>415800</v>
      </c>
      <c r="K612" s="2">
        <f t="shared" si="78"/>
        <v>3.5489361702127659E-2</v>
      </c>
      <c r="L612" t="str">
        <f t="shared" si="79"/>
        <v>Tier 1</v>
      </c>
    </row>
    <row r="613" spans="1:12" x14ac:dyDescent="0.35">
      <c r="A613" s="1" t="s">
        <v>2018</v>
      </c>
      <c r="B613">
        <v>630</v>
      </c>
      <c r="C613" t="s">
        <v>69</v>
      </c>
      <c r="D613" t="s">
        <v>2019</v>
      </c>
      <c r="E613" t="s">
        <v>58</v>
      </c>
      <c r="F613" t="s">
        <v>2020</v>
      </c>
      <c r="G613" t="s">
        <v>2021</v>
      </c>
      <c r="H613">
        <f t="shared" si="75"/>
        <v>14500000</v>
      </c>
      <c r="I613">
        <f t="shared" si="76"/>
        <v>177000</v>
      </c>
      <c r="J613">
        <f t="shared" si="77"/>
        <v>264800</v>
      </c>
      <c r="K613" s="2">
        <f t="shared" si="78"/>
        <v>1.2206896551724139E-2</v>
      </c>
      <c r="L613" t="str">
        <f t="shared" si="79"/>
        <v>Tier 2</v>
      </c>
    </row>
    <row r="614" spans="1:12" x14ac:dyDescent="0.35">
      <c r="A614" s="1" t="s">
        <v>2022</v>
      </c>
      <c r="B614">
        <v>631</v>
      </c>
      <c r="D614" t="s">
        <v>1921</v>
      </c>
      <c r="E614" t="s">
        <v>22</v>
      </c>
      <c r="F614" t="s">
        <v>2023</v>
      </c>
      <c r="G614" t="s">
        <v>2024</v>
      </c>
      <c r="H614">
        <f t="shared" si="75"/>
        <v>10600000</v>
      </c>
      <c r="I614">
        <f t="shared" si="76"/>
        <v>163700</v>
      </c>
      <c r="J614">
        <f t="shared" si="77"/>
        <v>360400</v>
      </c>
      <c r="K614" s="2">
        <f t="shared" si="78"/>
        <v>1.5443396226415095E-2</v>
      </c>
      <c r="L614" t="str">
        <f t="shared" si="79"/>
        <v>Tier 2</v>
      </c>
    </row>
    <row r="615" spans="1:12" x14ac:dyDescent="0.35">
      <c r="A615" s="1" t="s">
        <v>2025</v>
      </c>
      <c r="B615">
        <v>632</v>
      </c>
      <c r="C615" t="s">
        <v>305</v>
      </c>
      <c r="D615" t="s">
        <v>262</v>
      </c>
      <c r="E615" t="s">
        <v>10</v>
      </c>
      <c r="F615" t="s">
        <v>2026</v>
      </c>
      <c r="G615" t="s">
        <v>2027</v>
      </c>
      <c r="H615">
        <f t="shared" si="75"/>
        <v>23000000</v>
      </c>
      <c r="I615">
        <f t="shared" si="76"/>
        <v>137300</v>
      </c>
      <c r="J615">
        <f t="shared" si="77"/>
        <v>166800</v>
      </c>
      <c r="K615" s="2">
        <f t="shared" si="78"/>
        <v>5.9695652173913042E-3</v>
      </c>
      <c r="L615" t="str">
        <f t="shared" si="79"/>
        <v>Tier 2</v>
      </c>
    </row>
    <row r="616" spans="1:12" x14ac:dyDescent="0.35">
      <c r="A616" s="1" t="s">
        <v>2028</v>
      </c>
      <c r="B616">
        <v>633</v>
      </c>
      <c r="C616" t="s">
        <v>550</v>
      </c>
      <c r="D616" t="s">
        <v>738</v>
      </c>
      <c r="E616" t="s">
        <v>252</v>
      </c>
      <c r="F616" t="s">
        <v>2029</v>
      </c>
      <c r="G616" t="s">
        <v>2030</v>
      </c>
      <c r="H616">
        <f t="shared" si="75"/>
        <v>19800000</v>
      </c>
      <c r="I616">
        <f t="shared" si="76"/>
        <v>150800</v>
      </c>
      <c r="J616">
        <f t="shared" si="77"/>
        <v>191700</v>
      </c>
      <c r="K616" s="2">
        <f t="shared" si="78"/>
        <v>7.6161616161616163E-3</v>
      </c>
      <c r="L616" t="str">
        <f t="shared" si="79"/>
        <v>Tier 2</v>
      </c>
    </row>
    <row r="617" spans="1:12" x14ac:dyDescent="0.35">
      <c r="A617" s="1" t="s">
        <v>2031</v>
      </c>
      <c r="B617">
        <v>634</v>
      </c>
      <c r="C617" t="s">
        <v>8</v>
      </c>
      <c r="D617" t="s">
        <v>1148</v>
      </c>
      <c r="E617" t="s">
        <v>279</v>
      </c>
      <c r="F617" t="s">
        <v>299</v>
      </c>
      <c r="G617" t="s">
        <v>2032</v>
      </c>
      <c r="H617">
        <f t="shared" si="75"/>
        <v>10100000</v>
      </c>
      <c r="I617">
        <f t="shared" si="76"/>
        <v>264500</v>
      </c>
      <c r="J617">
        <f t="shared" si="77"/>
        <v>374900</v>
      </c>
      <c r="K617" s="2">
        <f t="shared" si="78"/>
        <v>2.6188118811881187E-2</v>
      </c>
      <c r="L617" t="str">
        <f t="shared" si="79"/>
        <v>Tier 2</v>
      </c>
    </row>
    <row r="618" spans="1:12" x14ac:dyDescent="0.35">
      <c r="A618" s="1" t="s">
        <v>2033</v>
      </c>
      <c r="B618">
        <v>635</v>
      </c>
      <c r="C618" t="s">
        <v>26</v>
      </c>
      <c r="D618" t="s">
        <v>1148</v>
      </c>
      <c r="E618" t="s">
        <v>1518</v>
      </c>
      <c r="F618" t="s">
        <v>2034</v>
      </c>
      <c r="G618" t="s">
        <v>2035</v>
      </c>
      <c r="H618">
        <f t="shared" si="75"/>
        <v>10100000</v>
      </c>
      <c r="I618">
        <f t="shared" si="76"/>
        <v>258500</v>
      </c>
      <c r="J618">
        <f t="shared" si="77"/>
        <v>378200</v>
      </c>
      <c r="K618" s="2">
        <f t="shared" si="78"/>
        <v>2.5594059405940593E-2</v>
      </c>
      <c r="L618" t="str">
        <f t="shared" si="79"/>
        <v>Tier 2</v>
      </c>
    </row>
    <row r="619" spans="1:12" x14ac:dyDescent="0.35">
      <c r="A619" s="1" t="s">
        <v>2036</v>
      </c>
      <c r="B619">
        <v>636</v>
      </c>
      <c r="C619" t="s">
        <v>8</v>
      </c>
      <c r="D619" t="s">
        <v>905</v>
      </c>
      <c r="E619" t="s">
        <v>22</v>
      </c>
      <c r="F619" t="s">
        <v>2037</v>
      </c>
      <c r="G619" t="s">
        <v>2038</v>
      </c>
      <c r="H619">
        <f t="shared" si="75"/>
        <v>14200000</v>
      </c>
      <c r="I619">
        <f t="shared" si="76"/>
        <v>147900</v>
      </c>
      <c r="J619">
        <f t="shared" si="77"/>
        <v>267100</v>
      </c>
      <c r="K619" s="2">
        <f t="shared" si="78"/>
        <v>1.0415492957746479E-2</v>
      </c>
      <c r="L619" t="str">
        <f t="shared" si="79"/>
        <v>Tier 2</v>
      </c>
    </row>
    <row r="620" spans="1:12" x14ac:dyDescent="0.35">
      <c r="A620" s="1" t="s">
        <v>2039</v>
      </c>
      <c r="B620">
        <v>637</v>
      </c>
      <c r="C620" t="s">
        <v>76</v>
      </c>
      <c r="D620" t="s">
        <v>523</v>
      </c>
      <c r="E620" t="s">
        <v>42</v>
      </c>
      <c r="F620" t="s">
        <v>2040</v>
      </c>
      <c r="G620" t="s">
        <v>2041</v>
      </c>
      <c r="H620">
        <f t="shared" si="75"/>
        <v>16000000</v>
      </c>
      <c r="I620">
        <f t="shared" si="76"/>
        <v>167800</v>
      </c>
      <c r="J620">
        <f t="shared" si="77"/>
        <v>237500</v>
      </c>
      <c r="K620" s="2">
        <f t="shared" si="78"/>
        <v>1.04875E-2</v>
      </c>
      <c r="L620" t="str">
        <f t="shared" si="79"/>
        <v>Tier 2</v>
      </c>
    </row>
    <row r="621" spans="1:12" x14ac:dyDescent="0.35">
      <c r="A621" s="1" t="s">
        <v>2042</v>
      </c>
      <c r="B621">
        <v>638</v>
      </c>
      <c r="C621" t="s">
        <v>76</v>
      </c>
      <c r="D621" t="s">
        <v>588</v>
      </c>
      <c r="E621" t="s">
        <v>10</v>
      </c>
      <c r="F621" t="s">
        <v>2043</v>
      </c>
      <c r="G621" t="s">
        <v>2044</v>
      </c>
      <c r="H621">
        <f t="shared" si="75"/>
        <v>9800000</v>
      </c>
      <c r="I621">
        <f t="shared" si="76"/>
        <v>339200</v>
      </c>
      <c r="J621">
        <f t="shared" si="77"/>
        <v>390100</v>
      </c>
      <c r="K621" s="2">
        <f t="shared" si="78"/>
        <v>3.4612244897959187E-2</v>
      </c>
      <c r="L621" t="str">
        <f t="shared" si="79"/>
        <v>Tier 1</v>
      </c>
    </row>
    <row r="622" spans="1:12" x14ac:dyDescent="0.35">
      <c r="A622" s="1" t="s">
        <v>2045</v>
      </c>
      <c r="B622">
        <v>639</v>
      </c>
      <c r="C622" t="s">
        <v>542</v>
      </c>
      <c r="D622" t="s">
        <v>24</v>
      </c>
      <c r="E622" t="s">
        <v>22</v>
      </c>
      <c r="F622" t="s">
        <v>2046</v>
      </c>
      <c r="G622" t="s">
        <v>938</v>
      </c>
      <c r="H622">
        <f t="shared" si="75"/>
        <v>4900000</v>
      </c>
      <c r="I622">
        <f t="shared" si="76"/>
        <v>471400</v>
      </c>
      <c r="J622">
        <f t="shared" si="77"/>
        <v>780400</v>
      </c>
      <c r="K622" s="2">
        <f t="shared" si="78"/>
        <v>9.6204081632653066E-2</v>
      </c>
      <c r="L622" t="str">
        <f t="shared" si="79"/>
        <v>Tier 1</v>
      </c>
    </row>
    <row r="623" spans="1:12" x14ac:dyDescent="0.35">
      <c r="A623" s="1" t="s">
        <v>2047</v>
      </c>
      <c r="B623">
        <v>640</v>
      </c>
      <c r="C623" t="s">
        <v>2048</v>
      </c>
      <c r="D623" t="s">
        <v>1207</v>
      </c>
      <c r="E623" t="s">
        <v>22</v>
      </c>
      <c r="F623" t="s">
        <v>2049</v>
      </c>
      <c r="G623" t="s">
        <v>2050</v>
      </c>
      <c r="H623">
        <f t="shared" si="75"/>
        <v>19900000</v>
      </c>
      <c r="I623">
        <f t="shared" si="76"/>
        <v>126900</v>
      </c>
      <c r="J623">
        <f t="shared" si="77"/>
        <v>189400</v>
      </c>
      <c r="K623" s="2">
        <f t="shared" si="78"/>
        <v>6.3768844221105524E-3</v>
      </c>
      <c r="L623" t="str">
        <f t="shared" si="79"/>
        <v>Tier 2</v>
      </c>
    </row>
    <row r="624" spans="1:12" x14ac:dyDescent="0.35">
      <c r="A624" s="1" t="s">
        <v>2051</v>
      </c>
      <c r="B624">
        <v>641</v>
      </c>
      <c r="C624" t="s">
        <v>214</v>
      </c>
      <c r="D624" t="s">
        <v>59</v>
      </c>
      <c r="E624" t="s">
        <v>42</v>
      </c>
      <c r="F624" t="s">
        <v>2052</v>
      </c>
      <c r="G624" t="s">
        <v>2053</v>
      </c>
      <c r="H624">
        <f t="shared" si="75"/>
        <v>6300000</v>
      </c>
      <c r="I624">
        <f t="shared" si="76"/>
        <v>380700</v>
      </c>
      <c r="J624">
        <f t="shared" si="77"/>
        <v>603300</v>
      </c>
      <c r="K624" s="2">
        <f t="shared" si="78"/>
        <v>6.0428571428571429E-2</v>
      </c>
      <c r="L624" t="str">
        <f t="shared" si="79"/>
        <v>Tier 1</v>
      </c>
    </row>
    <row r="625" spans="1:12" x14ac:dyDescent="0.35">
      <c r="A625" s="1" t="s">
        <v>2054</v>
      </c>
      <c r="B625">
        <v>643</v>
      </c>
      <c r="C625" t="s">
        <v>26</v>
      </c>
      <c r="D625" t="s">
        <v>1115</v>
      </c>
      <c r="E625" t="s">
        <v>195</v>
      </c>
      <c r="F625" t="s">
        <v>2055</v>
      </c>
      <c r="G625" t="s">
        <v>2056</v>
      </c>
      <c r="H625">
        <f t="shared" si="75"/>
        <v>11000000</v>
      </c>
      <c r="I625">
        <f t="shared" si="76"/>
        <v>279300</v>
      </c>
      <c r="J625">
        <f t="shared" si="77"/>
        <v>339900</v>
      </c>
      <c r="K625" s="2">
        <f t="shared" si="78"/>
        <v>2.5390909090909092E-2</v>
      </c>
      <c r="L625" t="str">
        <f t="shared" si="79"/>
        <v>Tier 2</v>
      </c>
    </row>
    <row r="626" spans="1:12" x14ac:dyDescent="0.35">
      <c r="A626" s="1" t="s">
        <v>2057</v>
      </c>
      <c r="B626">
        <v>644</v>
      </c>
      <c r="C626" t="s">
        <v>1050</v>
      </c>
      <c r="D626" t="s">
        <v>1550</v>
      </c>
      <c r="E626" t="s">
        <v>10</v>
      </c>
      <c r="F626" t="s">
        <v>2058</v>
      </c>
      <c r="G626" t="s">
        <v>2059</v>
      </c>
      <c r="H626">
        <f t="shared" si="75"/>
        <v>11500000</v>
      </c>
      <c r="I626">
        <f t="shared" si="76"/>
        <v>234200</v>
      </c>
      <c r="J626">
        <f t="shared" si="77"/>
        <v>322100</v>
      </c>
      <c r="K626" s="2">
        <f t="shared" si="78"/>
        <v>2.0365217391304348E-2</v>
      </c>
      <c r="L626" t="str">
        <f t="shared" si="79"/>
        <v>Tier 2</v>
      </c>
    </row>
    <row r="627" spans="1:12" x14ac:dyDescent="0.35">
      <c r="A627" s="1" t="s">
        <v>2060</v>
      </c>
      <c r="B627">
        <v>645</v>
      </c>
      <c r="C627" t="s">
        <v>2061</v>
      </c>
      <c r="D627" t="s">
        <v>1319</v>
      </c>
      <c r="E627" t="s">
        <v>22</v>
      </c>
      <c r="F627" t="s">
        <v>2062</v>
      </c>
      <c r="G627" t="s">
        <v>2063</v>
      </c>
      <c r="H627">
        <f t="shared" si="75"/>
        <v>13200000</v>
      </c>
      <c r="I627">
        <f t="shared" si="76"/>
        <v>196200</v>
      </c>
      <c r="J627">
        <f t="shared" si="77"/>
        <v>282200</v>
      </c>
      <c r="K627" s="2">
        <f t="shared" si="78"/>
        <v>1.4863636363636364E-2</v>
      </c>
      <c r="L627" t="str">
        <f t="shared" si="79"/>
        <v>Tier 2</v>
      </c>
    </row>
    <row r="628" spans="1:12" x14ac:dyDescent="0.35">
      <c r="A628" s="1" t="s">
        <v>2064</v>
      </c>
      <c r="B628">
        <v>646</v>
      </c>
      <c r="C628" t="s">
        <v>76</v>
      </c>
      <c r="D628" t="s">
        <v>1565</v>
      </c>
      <c r="E628" t="s">
        <v>42</v>
      </c>
      <c r="F628" t="s">
        <v>2065</v>
      </c>
      <c r="G628" t="s">
        <v>2066</v>
      </c>
      <c r="H628">
        <f t="shared" si="75"/>
        <v>9700000</v>
      </c>
      <c r="I628">
        <f t="shared" si="76"/>
        <v>156200</v>
      </c>
      <c r="J628">
        <f t="shared" si="77"/>
        <v>391000</v>
      </c>
      <c r="K628" s="2">
        <f t="shared" si="78"/>
        <v>1.6103092783505156E-2</v>
      </c>
      <c r="L628" t="str">
        <f t="shared" si="79"/>
        <v>Tier 1</v>
      </c>
    </row>
    <row r="629" spans="1:12" x14ac:dyDescent="0.35">
      <c r="A629" s="1" t="s">
        <v>2067</v>
      </c>
      <c r="B629">
        <v>647</v>
      </c>
      <c r="C629" t="s">
        <v>69</v>
      </c>
      <c r="D629" t="s">
        <v>843</v>
      </c>
      <c r="E629" t="s">
        <v>10</v>
      </c>
      <c r="F629" t="s">
        <v>2068</v>
      </c>
      <c r="G629" t="s">
        <v>2069</v>
      </c>
      <c r="H629">
        <f t="shared" si="75"/>
        <v>15000000</v>
      </c>
      <c r="I629">
        <f t="shared" si="76"/>
        <v>179800</v>
      </c>
      <c r="J629">
        <f t="shared" si="77"/>
        <v>246700</v>
      </c>
      <c r="K629" s="2">
        <f t="shared" si="78"/>
        <v>1.1986666666666666E-2</v>
      </c>
      <c r="L629" t="str">
        <f t="shared" si="79"/>
        <v>Tier 2</v>
      </c>
    </row>
    <row r="630" spans="1:12" x14ac:dyDescent="0.35">
      <c r="A630" s="1" t="s">
        <v>2070</v>
      </c>
      <c r="B630">
        <v>648</v>
      </c>
      <c r="C630" t="s">
        <v>920</v>
      </c>
      <c r="D630" t="s">
        <v>2071</v>
      </c>
      <c r="E630" t="s">
        <v>10</v>
      </c>
      <c r="F630" t="s">
        <v>2072</v>
      </c>
      <c r="G630" t="s">
        <v>2073</v>
      </c>
      <c r="H630">
        <f t="shared" si="75"/>
        <v>24000000</v>
      </c>
      <c r="I630">
        <f t="shared" si="76"/>
        <v>95800</v>
      </c>
      <c r="J630">
        <f t="shared" si="77"/>
        <v>153800</v>
      </c>
      <c r="K630" s="2">
        <f t="shared" si="78"/>
        <v>3.9916666666666668E-3</v>
      </c>
      <c r="L630" t="str">
        <f t="shared" si="79"/>
        <v>Tier 2</v>
      </c>
    </row>
    <row r="631" spans="1:12" x14ac:dyDescent="0.35">
      <c r="A631" s="1" t="s">
        <v>2074</v>
      </c>
      <c r="B631">
        <v>649</v>
      </c>
      <c r="C631" t="s">
        <v>69</v>
      </c>
      <c r="D631" t="s">
        <v>523</v>
      </c>
      <c r="E631" t="s">
        <v>10</v>
      </c>
      <c r="F631" t="s">
        <v>1094</v>
      </c>
      <c r="G631" t="s">
        <v>2075</v>
      </c>
      <c r="H631">
        <f t="shared" si="75"/>
        <v>16000000</v>
      </c>
      <c r="I631">
        <f t="shared" si="76"/>
        <v>198700</v>
      </c>
      <c r="J631">
        <f t="shared" si="77"/>
        <v>230100</v>
      </c>
      <c r="K631" s="2">
        <f t="shared" si="78"/>
        <v>1.2418749999999999E-2</v>
      </c>
      <c r="L631" t="str">
        <f t="shared" si="79"/>
        <v>Tier 2</v>
      </c>
    </row>
    <row r="632" spans="1:12" x14ac:dyDescent="0.35">
      <c r="A632" s="1" t="s">
        <v>2076</v>
      </c>
      <c r="B632">
        <v>650</v>
      </c>
      <c r="C632" t="s">
        <v>820</v>
      </c>
      <c r="D632" t="s">
        <v>81</v>
      </c>
      <c r="E632" t="s">
        <v>42</v>
      </c>
      <c r="F632" t="s">
        <v>2077</v>
      </c>
      <c r="G632" t="s">
        <v>2078</v>
      </c>
      <c r="H632">
        <f t="shared" si="75"/>
        <v>9900000</v>
      </c>
      <c r="I632">
        <f t="shared" si="76"/>
        <v>269400</v>
      </c>
      <c r="J632">
        <f t="shared" si="77"/>
        <v>375700</v>
      </c>
      <c r="K632" s="2">
        <f t="shared" si="78"/>
        <v>2.7212121212121212E-2</v>
      </c>
      <c r="L632" t="str">
        <f t="shared" si="79"/>
        <v>Tier 1</v>
      </c>
    </row>
    <row r="633" spans="1:12" x14ac:dyDescent="0.35">
      <c r="A633" s="1" t="s">
        <v>2079</v>
      </c>
      <c r="B633">
        <v>651</v>
      </c>
      <c r="C633" t="s">
        <v>310</v>
      </c>
      <c r="D633" t="s">
        <v>2080</v>
      </c>
      <c r="E633" t="s">
        <v>22</v>
      </c>
      <c r="F633" t="s">
        <v>2081</v>
      </c>
      <c r="G633" t="s">
        <v>2082</v>
      </c>
      <c r="H633">
        <f t="shared" si="75"/>
        <v>74600000</v>
      </c>
      <c r="I633">
        <f t="shared" si="76"/>
        <v>36900</v>
      </c>
      <c r="J633">
        <f t="shared" si="77"/>
        <v>49800</v>
      </c>
      <c r="K633" s="2">
        <f t="shared" si="78"/>
        <v>4.9463806970509385E-4</v>
      </c>
      <c r="L633" t="str">
        <f t="shared" si="79"/>
        <v>Tier 3</v>
      </c>
    </row>
    <row r="634" spans="1:12" x14ac:dyDescent="0.35">
      <c r="A634" s="1" t="s">
        <v>2083</v>
      </c>
      <c r="B634">
        <v>652</v>
      </c>
      <c r="C634" t="s">
        <v>8</v>
      </c>
      <c r="D634" t="s">
        <v>352</v>
      </c>
      <c r="E634" t="s">
        <v>1102</v>
      </c>
      <c r="F634" t="s">
        <v>2084</v>
      </c>
      <c r="G634" t="s">
        <v>2085</v>
      </c>
      <c r="H634">
        <f t="shared" si="75"/>
        <v>9600000</v>
      </c>
      <c r="I634">
        <f t="shared" si="76"/>
        <v>226400</v>
      </c>
      <c r="J634">
        <f t="shared" si="77"/>
        <v>389000</v>
      </c>
      <c r="K634" s="2">
        <f t="shared" si="78"/>
        <v>2.3583333333333335E-2</v>
      </c>
      <c r="L634" t="str">
        <f t="shared" si="79"/>
        <v>Tier 1</v>
      </c>
    </row>
    <row r="635" spans="1:12" x14ac:dyDescent="0.35">
      <c r="A635" s="1" t="s">
        <v>2086</v>
      </c>
      <c r="B635">
        <v>654</v>
      </c>
      <c r="C635" t="s">
        <v>26</v>
      </c>
      <c r="D635" t="s">
        <v>964</v>
      </c>
      <c r="E635" t="s">
        <v>195</v>
      </c>
      <c r="F635" t="s">
        <v>2087</v>
      </c>
      <c r="G635" t="s">
        <v>2088</v>
      </c>
      <c r="H635">
        <f t="shared" si="75"/>
        <v>14700000</v>
      </c>
      <c r="I635">
        <f t="shared" si="76"/>
        <v>202300</v>
      </c>
      <c r="J635">
        <f t="shared" si="77"/>
        <v>248900</v>
      </c>
      <c r="K635" s="2">
        <f t="shared" si="78"/>
        <v>1.3761904761904762E-2</v>
      </c>
      <c r="L635" t="str">
        <f t="shared" si="79"/>
        <v>Tier 2</v>
      </c>
    </row>
    <row r="636" spans="1:12" x14ac:dyDescent="0.35">
      <c r="A636" s="1" t="s">
        <v>2089</v>
      </c>
      <c r="B636">
        <v>655</v>
      </c>
      <c r="C636" t="s">
        <v>542</v>
      </c>
      <c r="D636" t="s">
        <v>60</v>
      </c>
      <c r="E636" t="s">
        <v>42</v>
      </c>
      <c r="F636" t="s">
        <v>2090</v>
      </c>
      <c r="G636" t="s">
        <v>314</v>
      </c>
      <c r="H636">
        <f t="shared" si="75"/>
        <v>7300000</v>
      </c>
      <c r="I636">
        <f t="shared" si="76"/>
        <v>364100</v>
      </c>
      <c r="J636">
        <f t="shared" si="77"/>
        <v>499700</v>
      </c>
      <c r="K636" s="2">
        <f t="shared" si="78"/>
        <v>4.9876712328767121E-2</v>
      </c>
      <c r="L636" t="str">
        <f t="shared" si="79"/>
        <v>Tier 1</v>
      </c>
    </row>
    <row r="637" spans="1:12" x14ac:dyDescent="0.35">
      <c r="A637" s="1" t="s">
        <v>2091</v>
      </c>
      <c r="B637">
        <v>656</v>
      </c>
      <c r="C637" t="s">
        <v>550</v>
      </c>
      <c r="D637" t="s">
        <v>917</v>
      </c>
      <c r="E637" t="s">
        <v>252</v>
      </c>
      <c r="F637" t="s">
        <v>2092</v>
      </c>
      <c r="G637" t="s">
        <v>2093</v>
      </c>
      <c r="H637">
        <f t="shared" si="75"/>
        <v>8000000</v>
      </c>
      <c r="I637">
        <f t="shared" si="76"/>
        <v>347000</v>
      </c>
      <c r="J637">
        <f t="shared" si="77"/>
        <v>461100</v>
      </c>
      <c r="K637" s="2">
        <f t="shared" si="78"/>
        <v>4.3374999999999997E-2</v>
      </c>
      <c r="L637" t="str">
        <f t="shared" si="79"/>
        <v>Tier 1</v>
      </c>
    </row>
    <row r="638" spans="1:12" x14ac:dyDescent="0.35">
      <c r="A638" s="1" t="s">
        <v>2094</v>
      </c>
      <c r="B638">
        <v>657</v>
      </c>
      <c r="C638" t="s">
        <v>69</v>
      </c>
      <c r="D638" t="s">
        <v>671</v>
      </c>
      <c r="E638" t="s">
        <v>10</v>
      </c>
      <c r="F638" t="s">
        <v>2095</v>
      </c>
      <c r="G638" t="s">
        <v>2096</v>
      </c>
      <c r="H638">
        <f t="shared" si="75"/>
        <v>13500000</v>
      </c>
      <c r="I638">
        <f t="shared" si="76"/>
        <v>213900</v>
      </c>
      <c r="J638">
        <f t="shared" si="77"/>
        <v>268000</v>
      </c>
      <c r="K638" s="2">
        <f t="shared" si="78"/>
        <v>1.5844444444444446E-2</v>
      </c>
      <c r="L638" t="str">
        <f t="shared" si="79"/>
        <v>Tier 2</v>
      </c>
    </row>
    <row r="639" spans="1:12" x14ac:dyDescent="0.35">
      <c r="A639" s="1" t="s">
        <v>2097</v>
      </c>
      <c r="B639">
        <v>658</v>
      </c>
      <c r="C639" t="s">
        <v>8</v>
      </c>
      <c r="D639" t="s">
        <v>148</v>
      </c>
      <c r="E639" t="s">
        <v>22</v>
      </c>
      <c r="F639" t="s">
        <v>2098</v>
      </c>
      <c r="G639" t="s">
        <v>2099</v>
      </c>
      <c r="H639">
        <f t="shared" si="75"/>
        <v>5400000</v>
      </c>
      <c r="I639">
        <f t="shared" si="76"/>
        <v>349300</v>
      </c>
      <c r="J639">
        <f t="shared" si="77"/>
        <v>687000</v>
      </c>
      <c r="K639" s="2">
        <f t="shared" si="78"/>
        <v>6.4685185185185179E-2</v>
      </c>
      <c r="L639" t="str">
        <f t="shared" si="79"/>
        <v>Tier 1</v>
      </c>
    </row>
    <row r="640" spans="1:12" x14ac:dyDescent="0.35">
      <c r="A640" s="1" t="s">
        <v>2100</v>
      </c>
      <c r="B640">
        <v>659</v>
      </c>
      <c r="C640" t="s">
        <v>766</v>
      </c>
      <c r="D640" t="s">
        <v>1260</v>
      </c>
      <c r="E640" t="s">
        <v>42</v>
      </c>
      <c r="F640" t="s">
        <v>2101</v>
      </c>
      <c r="G640" t="s">
        <v>2102</v>
      </c>
      <c r="H640">
        <f t="shared" si="75"/>
        <v>8100000</v>
      </c>
      <c r="I640">
        <f t="shared" si="76"/>
        <v>193500</v>
      </c>
      <c r="J640">
        <f t="shared" si="77"/>
        <v>460900</v>
      </c>
      <c r="K640" s="2">
        <f t="shared" si="78"/>
        <v>2.388888888888889E-2</v>
      </c>
      <c r="L640" t="str">
        <f t="shared" si="79"/>
        <v>Tier 1</v>
      </c>
    </row>
    <row r="641" spans="1:12" x14ac:dyDescent="0.35">
      <c r="A641" s="1" t="s">
        <v>2103</v>
      </c>
      <c r="B641">
        <v>660</v>
      </c>
      <c r="C641" t="s">
        <v>76</v>
      </c>
      <c r="D641" t="s">
        <v>311</v>
      </c>
      <c r="E641" t="s">
        <v>2104</v>
      </c>
      <c r="F641" t="s">
        <v>2105</v>
      </c>
      <c r="G641" t="s">
        <v>2106</v>
      </c>
      <c r="H641">
        <f t="shared" si="75"/>
        <v>14400000</v>
      </c>
      <c r="I641">
        <f t="shared" si="76"/>
        <v>194800</v>
      </c>
      <c r="J641">
        <f t="shared" si="77"/>
        <v>256300</v>
      </c>
      <c r="K641" s="2">
        <f t="shared" si="78"/>
        <v>1.3527777777777777E-2</v>
      </c>
      <c r="L641" t="str">
        <f t="shared" si="79"/>
        <v>Tier 2</v>
      </c>
    </row>
    <row r="642" spans="1:12" x14ac:dyDescent="0.35">
      <c r="A642" s="1" t="s">
        <v>2107</v>
      </c>
      <c r="B642">
        <v>661</v>
      </c>
      <c r="C642" t="s">
        <v>69</v>
      </c>
      <c r="D642" t="s">
        <v>2108</v>
      </c>
      <c r="E642" t="s">
        <v>2109</v>
      </c>
      <c r="F642" t="s">
        <v>2110</v>
      </c>
      <c r="G642" t="s">
        <v>2111</v>
      </c>
      <c r="H642">
        <f t="shared" si="75"/>
        <v>5000000</v>
      </c>
      <c r="I642">
        <f t="shared" si="76"/>
        <v>636600</v>
      </c>
      <c r="J642">
        <f t="shared" si="77"/>
        <v>740000</v>
      </c>
      <c r="K642" s="2">
        <f t="shared" si="78"/>
        <v>0.12731999999999999</v>
      </c>
      <c r="L642" t="str">
        <f t="shared" si="79"/>
        <v>Tier 1</v>
      </c>
    </row>
    <row r="643" spans="1:12" x14ac:dyDescent="0.35">
      <c r="A643" s="1" t="s">
        <v>2112</v>
      </c>
      <c r="B643">
        <v>662</v>
      </c>
      <c r="C643" t="s">
        <v>8</v>
      </c>
      <c r="D643" t="s">
        <v>1171</v>
      </c>
      <c r="E643" t="s">
        <v>42</v>
      </c>
      <c r="F643" t="s">
        <v>2113</v>
      </c>
      <c r="G643" t="s">
        <v>1492</v>
      </c>
      <c r="H643">
        <f t="shared" si="75"/>
        <v>7800000</v>
      </c>
      <c r="I643">
        <f t="shared" si="76"/>
        <v>248200</v>
      </c>
      <c r="J643">
        <f t="shared" si="77"/>
        <v>468800</v>
      </c>
      <c r="K643" s="2">
        <f t="shared" si="78"/>
        <v>3.182051282051282E-2</v>
      </c>
      <c r="L643" t="str">
        <f t="shared" si="79"/>
        <v>Tier 1</v>
      </c>
    </row>
    <row r="644" spans="1:12" x14ac:dyDescent="0.35">
      <c r="A644" s="1" t="s">
        <v>2115</v>
      </c>
      <c r="B644">
        <v>664</v>
      </c>
      <c r="C644" t="s">
        <v>26</v>
      </c>
      <c r="D644" t="s">
        <v>1565</v>
      </c>
      <c r="E644" t="s">
        <v>22</v>
      </c>
      <c r="F644" t="s">
        <v>2116</v>
      </c>
      <c r="G644" t="s">
        <v>2117</v>
      </c>
      <c r="H644">
        <f t="shared" si="75"/>
        <v>9700000</v>
      </c>
      <c r="I644">
        <f t="shared" si="76"/>
        <v>234000</v>
      </c>
      <c r="J644">
        <f t="shared" si="77"/>
        <v>376200</v>
      </c>
      <c r="K644" s="2">
        <f t="shared" si="78"/>
        <v>2.4123711340206185E-2</v>
      </c>
      <c r="L644" t="str">
        <f t="shared" si="79"/>
        <v>Tier 1</v>
      </c>
    </row>
    <row r="645" spans="1:12" x14ac:dyDescent="0.35">
      <c r="A645" s="1" t="s">
        <v>2118</v>
      </c>
      <c r="B645">
        <v>665</v>
      </c>
      <c r="C645" t="s">
        <v>313</v>
      </c>
      <c r="D645" t="s">
        <v>1034</v>
      </c>
      <c r="E645" t="s">
        <v>1030</v>
      </c>
      <c r="F645" t="s">
        <v>2119</v>
      </c>
      <c r="G645" t="s">
        <v>2120</v>
      </c>
      <c r="H645">
        <f t="shared" si="75"/>
        <v>16900000</v>
      </c>
      <c r="I645">
        <f t="shared" si="76"/>
        <v>161600</v>
      </c>
      <c r="J645">
        <f t="shared" si="77"/>
        <v>210200</v>
      </c>
      <c r="K645" s="2">
        <f t="shared" si="78"/>
        <v>9.5621301775147931E-3</v>
      </c>
      <c r="L645" t="str">
        <f t="shared" si="79"/>
        <v>Tier 2</v>
      </c>
    </row>
    <row r="646" spans="1:12" x14ac:dyDescent="0.35">
      <c r="A646" s="1" t="s">
        <v>2121</v>
      </c>
      <c r="B646">
        <v>666</v>
      </c>
      <c r="C646" t="s">
        <v>259</v>
      </c>
      <c r="D646" t="s">
        <v>671</v>
      </c>
      <c r="E646" t="s">
        <v>799</v>
      </c>
      <c r="F646" t="s">
        <v>2122</v>
      </c>
      <c r="G646" t="s">
        <v>2123</v>
      </c>
      <c r="H646">
        <f t="shared" si="75"/>
        <v>13500000</v>
      </c>
      <c r="I646">
        <f t="shared" si="76"/>
        <v>229700</v>
      </c>
      <c r="J646">
        <f t="shared" si="77"/>
        <v>261500</v>
      </c>
      <c r="K646" s="2">
        <f t="shared" si="78"/>
        <v>1.7014814814814816E-2</v>
      </c>
      <c r="L646" t="str">
        <f t="shared" si="79"/>
        <v>Tier 2</v>
      </c>
    </row>
    <row r="647" spans="1:12" x14ac:dyDescent="0.35">
      <c r="A647" s="1" t="s">
        <v>2124</v>
      </c>
      <c r="B647">
        <v>667</v>
      </c>
      <c r="C647" t="s">
        <v>1193</v>
      </c>
      <c r="D647" t="s">
        <v>2125</v>
      </c>
      <c r="E647" t="s">
        <v>22</v>
      </c>
      <c r="F647" t="s">
        <v>2126</v>
      </c>
      <c r="G647" t="s">
        <v>2127</v>
      </c>
      <c r="H647">
        <f t="shared" si="75"/>
        <v>8900000</v>
      </c>
      <c r="I647">
        <f t="shared" si="76"/>
        <v>267200</v>
      </c>
      <c r="J647">
        <f t="shared" si="77"/>
        <v>403600</v>
      </c>
      <c r="K647" s="2">
        <f t="shared" si="78"/>
        <v>3.0022471910112359E-2</v>
      </c>
      <c r="L647" t="str">
        <f t="shared" si="79"/>
        <v>Tier 1</v>
      </c>
    </row>
    <row r="648" spans="1:12" x14ac:dyDescent="0.35">
      <c r="A648" s="1" t="s">
        <v>2128</v>
      </c>
      <c r="B648">
        <v>668</v>
      </c>
      <c r="C648" t="s">
        <v>76</v>
      </c>
      <c r="D648" t="s">
        <v>81</v>
      </c>
      <c r="E648" t="s">
        <v>42</v>
      </c>
      <c r="F648" t="s">
        <v>2129</v>
      </c>
      <c r="G648" t="s">
        <v>2130</v>
      </c>
      <c r="H648">
        <f t="shared" si="75"/>
        <v>9900000</v>
      </c>
      <c r="I648">
        <f t="shared" si="76"/>
        <v>159300</v>
      </c>
      <c r="J648">
        <f t="shared" si="77"/>
        <v>365600</v>
      </c>
      <c r="K648" s="2">
        <f t="shared" si="78"/>
        <v>1.609090909090909E-2</v>
      </c>
      <c r="L648" t="str">
        <f t="shared" si="79"/>
        <v>Tier 1</v>
      </c>
    </row>
    <row r="649" spans="1:12" x14ac:dyDescent="0.35">
      <c r="A649" s="1" t="s">
        <v>2131</v>
      </c>
      <c r="B649">
        <v>669</v>
      </c>
      <c r="C649" t="s">
        <v>834</v>
      </c>
      <c r="D649" t="s">
        <v>2132</v>
      </c>
      <c r="E649" t="s">
        <v>195</v>
      </c>
      <c r="F649" t="s">
        <v>1463</v>
      </c>
      <c r="G649" t="s">
        <v>2050</v>
      </c>
      <c r="H649">
        <f t="shared" ref="H649:H654" si="80">IF(RIGHT(D649,1)="M", VALUE(SUBSTITUTE(D649,"M",""))*1000000, VALUE(SUBSTITUTE(D649,"K",""))*1000)</f>
        <v>18600000</v>
      </c>
      <c r="I649">
        <f t="shared" ref="I649:I654" si="81">IF(RIGHT(F649,1)="M", VALUE(SUBSTITUTE(F649,"M",""))*1000000, VALUE(SUBSTITUTE(F649,"K",""))*1000)</f>
        <v>164400</v>
      </c>
      <c r="J649">
        <f t="shared" ref="J649:J654" si="82">IF(RIGHT(G649,1)="M", VALUE(SUBSTITUTE(G649,"M",""))*1000000, VALUE(SUBSTITUTE(G649,"K",""))*1000)</f>
        <v>189400</v>
      </c>
      <c r="K649" s="2">
        <f t="shared" ref="K649:K654" si="83">I649/H649</f>
        <v>8.8387096774193551E-3</v>
      </c>
      <c r="L649" t="str">
        <f t="shared" ref="L649:L654" si="84">IF(H649&lt;10000000,"Tier 1",
 IF(H649&lt;50000000,"Tier 2",
 IF(H649&lt;100000000,"Tier 3",
 "Tier 4")))</f>
        <v>Tier 2</v>
      </c>
    </row>
    <row r="650" spans="1:12" x14ac:dyDescent="0.35">
      <c r="A650" s="1" t="s">
        <v>2133</v>
      </c>
      <c r="B650">
        <v>670</v>
      </c>
      <c r="C650" t="s">
        <v>8</v>
      </c>
      <c r="D650" t="s">
        <v>746</v>
      </c>
      <c r="E650" t="s">
        <v>2134</v>
      </c>
      <c r="F650" t="s">
        <v>2135</v>
      </c>
      <c r="G650" t="s">
        <v>2136</v>
      </c>
      <c r="H650">
        <f t="shared" si="80"/>
        <v>9100000</v>
      </c>
      <c r="I650">
        <f t="shared" si="81"/>
        <v>306800</v>
      </c>
      <c r="J650">
        <f t="shared" si="82"/>
        <v>395200</v>
      </c>
      <c r="K650" s="2">
        <f t="shared" si="83"/>
        <v>3.3714285714285717E-2</v>
      </c>
      <c r="L650" t="str">
        <f t="shared" si="84"/>
        <v>Tier 1</v>
      </c>
    </row>
    <row r="651" spans="1:12" x14ac:dyDescent="0.35">
      <c r="A651" s="1" t="s">
        <v>2137</v>
      </c>
      <c r="B651">
        <v>671</v>
      </c>
      <c r="C651" t="s">
        <v>1395</v>
      </c>
      <c r="D651" t="s">
        <v>78</v>
      </c>
      <c r="E651" t="s">
        <v>195</v>
      </c>
      <c r="F651" t="s">
        <v>2138</v>
      </c>
      <c r="G651" t="s">
        <v>2139</v>
      </c>
      <c r="H651">
        <f t="shared" si="80"/>
        <v>10400000</v>
      </c>
      <c r="I651">
        <f t="shared" si="81"/>
        <v>264000</v>
      </c>
      <c r="J651">
        <f t="shared" si="82"/>
        <v>342000</v>
      </c>
      <c r="K651" s="2">
        <f t="shared" si="83"/>
        <v>2.5384615384615384E-2</v>
      </c>
      <c r="L651" t="str">
        <f t="shared" si="84"/>
        <v>Tier 2</v>
      </c>
    </row>
    <row r="652" spans="1:12" x14ac:dyDescent="0.35">
      <c r="A652" s="1" t="s">
        <v>2140</v>
      </c>
      <c r="B652">
        <v>672</v>
      </c>
      <c r="C652" t="s">
        <v>157</v>
      </c>
      <c r="D652" t="s">
        <v>1297</v>
      </c>
      <c r="E652" t="s">
        <v>42</v>
      </c>
      <c r="F652" t="s">
        <v>1685</v>
      </c>
      <c r="G652" t="s">
        <v>2141</v>
      </c>
      <c r="H652">
        <f t="shared" si="80"/>
        <v>13900000</v>
      </c>
      <c r="I652">
        <f t="shared" si="81"/>
        <v>116900</v>
      </c>
      <c r="J652">
        <f t="shared" si="82"/>
        <v>270800</v>
      </c>
      <c r="K652" s="2">
        <f t="shared" si="83"/>
        <v>8.4100719424460429E-3</v>
      </c>
      <c r="L652" t="str">
        <f t="shared" si="84"/>
        <v>Tier 2</v>
      </c>
    </row>
    <row r="653" spans="1:12" x14ac:dyDescent="0.35">
      <c r="A653" s="1" t="s">
        <v>2142</v>
      </c>
      <c r="B653">
        <v>673</v>
      </c>
      <c r="C653" t="s">
        <v>2143</v>
      </c>
      <c r="D653" t="s">
        <v>94</v>
      </c>
      <c r="E653" t="s">
        <v>10</v>
      </c>
      <c r="F653" t="s">
        <v>2144</v>
      </c>
      <c r="G653" t="s">
        <v>2145</v>
      </c>
      <c r="H653">
        <f t="shared" si="80"/>
        <v>5600000</v>
      </c>
      <c r="I653">
        <f t="shared" si="81"/>
        <v>488400</v>
      </c>
      <c r="J653">
        <f t="shared" si="82"/>
        <v>636000</v>
      </c>
      <c r="K653" s="2">
        <f t="shared" si="83"/>
        <v>8.7214285714285716E-2</v>
      </c>
      <c r="L653" t="str">
        <f t="shared" si="84"/>
        <v>Tier 1</v>
      </c>
    </row>
    <row r="654" spans="1:12" x14ac:dyDescent="0.35">
      <c r="A654" s="1" t="s">
        <v>2146</v>
      </c>
      <c r="B654">
        <v>674</v>
      </c>
      <c r="C654" t="s">
        <v>26</v>
      </c>
      <c r="D654" t="s">
        <v>2147</v>
      </c>
      <c r="E654" t="s">
        <v>58</v>
      </c>
      <c r="F654" t="s">
        <v>1942</v>
      </c>
      <c r="G654" t="s">
        <v>2148</v>
      </c>
      <c r="H654">
        <f t="shared" si="80"/>
        <v>4400000</v>
      </c>
      <c r="I654">
        <f t="shared" si="81"/>
        <v>607300</v>
      </c>
      <c r="J654">
        <f t="shared" si="82"/>
        <v>801600</v>
      </c>
      <c r="K654" s="2">
        <f t="shared" si="83"/>
        <v>0.13802272727272727</v>
      </c>
      <c r="L654" t="str">
        <f t="shared" si="84"/>
        <v>Tier 1</v>
      </c>
    </row>
    <row r="655" spans="1:12" hidden="1" x14ac:dyDescent="0.35">
      <c r="A655" s="1" t="s">
        <v>2149</v>
      </c>
      <c r="B655">
        <v>675</v>
      </c>
      <c r="D655" t="s">
        <v>39</v>
      </c>
      <c r="F655">
        <v>0</v>
      </c>
      <c r="G655" t="s">
        <v>52</v>
      </c>
      <c r="K655"/>
    </row>
    <row r="656" spans="1:12" x14ac:dyDescent="0.35">
      <c r="A656" s="1" t="s">
        <v>2150</v>
      </c>
      <c r="B656">
        <v>676</v>
      </c>
      <c r="C656" t="s">
        <v>8</v>
      </c>
      <c r="D656" t="s">
        <v>594</v>
      </c>
      <c r="E656" t="s">
        <v>279</v>
      </c>
      <c r="F656" t="s">
        <v>2151</v>
      </c>
      <c r="G656" t="s">
        <v>2152</v>
      </c>
      <c r="H656">
        <f t="shared" ref="H656:H674" si="85">IF(RIGHT(D656,1)="M", VALUE(SUBSTITUTE(D656,"M",""))*1000000, VALUE(SUBSTITUTE(D656,"K",""))*1000)</f>
        <v>15900000</v>
      </c>
      <c r="I656">
        <f t="shared" ref="I656:I674" si="86">IF(RIGHT(F656,1)="M", VALUE(SUBSTITUTE(F656,"M",""))*1000000, VALUE(SUBSTITUTE(F656,"K",""))*1000)</f>
        <v>146600</v>
      </c>
      <c r="J656">
        <f t="shared" ref="J656:J674" si="87">IF(RIGHT(G656,1)="M", VALUE(SUBSTITUTE(G656,"M",""))*1000000, VALUE(SUBSTITUTE(G656,"K",""))*1000)</f>
        <v>219800</v>
      </c>
      <c r="K656" s="2">
        <f t="shared" ref="K656:K674" si="88">I656/H656</f>
        <v>9.2201257861635223E-3</v>
      </c>
      <c r="L656" t="str">
        <f t="shared" ref="L656:L674" si="89">IF(H656&lt;10000000,"Tier 1",
 IF(H656&lt;50000000,"Tier 2",
 IF(H656&lt;100000000,"Tier 3",
 "Tier 4")))</f>
        <v>Tier 2</v>
      </c>
    </row>
    <row r="657" spans="1:12" x14ac:dyDescent="0.35">
      <c r="A657" s="1" t="s">
        <v>2153</v>
      </c>
      <c r="B657">
        <v>677</v>
      </c>
      <c r="C657" t="s">
        <v>26</v>
      </c>
      <c r="D657" t="s">
        <v>2154</v>
      </c>
      <c r="E657" t="s">
        <v>42</v>
      </c>
      <c r="F657" t="s">
        <v>2155</v>
      </c>
      <c r="G657" t="s">
        <v>2156</v>
      </c>
      <c r="H657">
        <f t="shared" si="85"/>
        <v>22500000</v>
      </c>
      <c r="I657">
        <f t="shared" si="86"/>
        <v>96500</v>
      </c>
      <c r="J657">
        <f t="shared" si="87"/>
        <v>155300</v>
      </c>
      <c r="K657" s="2">
        <f t="shared" si="88"/>
        <v>4.288888888888889E-3</v>
      </c>
      <c r="L657" t="str">
        <f t="shared" si="89"/>
        <v>Tier 2</v>
      </c>
    </row>
    <row r="658" spans="1:12" x14ac:dyDescent="0.35">
      <c r="A658" s="1" t="s">
        <v>2157</v>
      </c>
      <c r="B658">
        <v>678</v>
      </c>
      <c r="C658" t="s">
        <v>302</v>
      </c>
      <c r="D658" t="s">
        <v>1930</v>
      </c>
      <c r="E658" t="s">
        <v>10</v>
      </c>
      <c r="F658" t="s">
        <v>2158</v>
      </c>
      <c r="G658" t="s">
        <v>2159</v>
      </c>
      <c r="H658">
        <f t="shared" si="85"/>
        <v>4200000</v>
      </c>
      <c r="I658">
        <f t="shared" si="86"/>
        <v>630500</v>
      </c>
      <c r="J658">
        <f t="shared" si="87"/>
        <v>849200</v>
      </c>
      <c r="K658" s="2">
        <f t="shared" si="88"/>
        <v>0.15011904761904762</v>
      </c>
      <c r="L658" t="str">
        <f t="shared" si="89"/>
        <v>Tier 1</v>
      </c>
    </row>
    <row r="659" spans="1:12" x14ac:dyDescent="0.35">
      <c r="A659" s="1" t="s">
        <v>2160</v>
      </c>
      <c r="B659">
        <v>679</v>
      </c>
      <c r="D659" t="s">
        <v>742</v>
      </c>
      <c r="E659" t="s">
        <v>519</v>
      </c>
      <c r="F659" t="s">
        <v>2161</v>
      </c>
      <c r="G659" t="s">
        <v>2162</v>
      </c>
      <c r="H659">
        <f t="shared" si="85"/>
        <v>9000000</v>
      </c>
      <c r="I659">
        <f t="shared" si="86"/>
        <v>301500</v>
      </c>
      <c r="J659">
        <f t="shared" si="87"/>
        <v>396900</v>
      </c>
      <c r="K659" s="2">
        <f t="shared" si="88"/>
        <v>3.3500000000000002E-2</v>
      </c>
      <c r="L659" t="str">
        <f t="shared" si="89"/>
        <v>Tier 1</v>
      </c>
    </row>
    <row r="660" spans="1:12" x14ac:dyDescent="0.35">
      <c r="A660" s="1" t="s">
        <v>2163</v>
      </c>
      <c r="B660">
        <v>680</v>
      </c>
      <c r="C660" t="s">
        <v>157</v>
      </c>
      <c r="D660" t="s">
        <v>1517</v>
      </c>
      <c r="E660" t="s">
        <v>22</v>
      </c>
      <c r="F660" t="s">
        <v>825</v>
      </c>
      <c r="G660" t="s">
        <v>977</v>
      </c>
      <c r="H660">
        <f t="shared" si="85"/>
        <v>7400000</v>
      </c>
      <c r="I660">
        <f t="shared" si="86"/>
        <v>292100</v>
      </c>
      <c r="J660">
        <f t="shared" si="87"/>
        <v>474800</v>
      </c>
      <c r="K660" s="2">
        <f t="shared" si="88"/>
        <v>3.9472972972972975E-2</v>
      </c>
      <c r="L660" t="str">
        <f t="shared" si="89"/>
        <v>Tier 1</v>
      </c>
    </row>
    <row r="661" spans="1:12" x14ac:dyDescent="0.35">
      <c r="A661" s="1" t="s">
        <v>2164</v>
      </c>
      <c r="B661">
        <v>682</v>
      </c>
      <c r="C661" t="s">
        <v>157</v>
      </c>
      <c r="D661" t="s">
        <v>2165</v>
      </c>
      <c r="E661" t="s">
        <v>58</v>
      </c>
      <c r="F661" t="s">
        <v>2166</v>
      </c>
      <c r="G661" t="s">
        <v>1690</v>
      </c>
      <c r="H661">
        <f t="shared" si="85"/>
        <v>16700000</v>
      </c>
      <c r="I661">
        <f t="shared" si="86"/>
        <v>134800</v>
      </c>
      <c r="J661">
        <f t="shared" si="87"/>
        <v>215100</v>
      </c>
      <c r="K661" s="2">
        <f t="shared" si="88"/>
        <v>8.0718562874251502E-3</v>
      </c>
      <c r="L661" t="str">
        <f t="shared" si="89"/>
        <v>Tier 2</v>
      </c>
    </row>
    <row r="662" spans="1:12" x14ac:dyDescent="0.35">
      <c r="A662" s="1" t="s">
        <v>2167</v>
      </c>
      <c r="B662">
        <v>683</v>
      </c>
      <c r="C662" t="s">
        <v>26</v>
      </c>
      <c r="D662" t="s">
        <v>1260</v>
      </c>
      <c r="E662" t="s">
        <v>42</v>
      </c>
      <c r="F662" t="s">
        <v>1539</v>
      </c>
      <c r="G662" t="s">
        <v>2168</v>
      </c>
      <c r="H662">
        <f t="shared" si="85"/>
        <v>8100000</v>
      </c>
      <c r="I662">
        <f t="shared" si="86"/>
        <v>253100</v>
      </c>
      <c r="J662">
        <f t="shared" si="87"/>
        <v>433100</v>
      </c>
      <c r="K662" s="2">
        <f t="shared" si="88"/>
        <v>3.1246913580246914E-2</v>
      </c>
      <c r="L662" t="str">
        <f t="shared" si="89"/>
        <v>Tier 1</v>
      </c>
    </row>
    <row r="663" spans="1:12" x14ac:dyDescent="0.35">
      <c r="A663" s="1" t="s">
        <v>2169</v>
      </c>
      <c r="B663">
        <v>684</v>
      </c>
      <c r="C663" t="s">
        <v>26</v>
      </c>
      <c r="D663" t="s">
        <v>190</v>
      </c>
      <c r="E663" t="s">
        <v>58</v>
      </c>
      <c r="F663" t="s">
        <v>2170</v>
      </c>
      <c r="G663" t="s">
        <v>2171</v>
      </c>
      <c r="H663">
        <f t="shared" si="85"/>
        <v>4500000</v>
      </c>
      <c r="I663">
        <f t="shared" si="86"/>
        <v>515200.00000000006</v>
      </c>
      <c r="J663">
        <f t="shared" si="87"/>
        <v>770100</v>
      </c>
      <c r="K663" s="2">
        <f t="shared" si="88"/>
        <v>0.1144888888888889</v>
      </c>
      <c r="L663" t="str">
        <f t="shared" si="89"/>
        <v>Tier 1</v>
      </c>
    </row>
    <row r="664" spans="1:12" x14ac:dyDescent="0.35">
      <c r="A664" s="1" t="s">
        <v>2172</v>
      </c>
      <c r="B664">
        <v>685</v>
      </c>
      <c r="C664" t="s">
        <v>2173</v>
      </c>
      <c r="D664" t="s">
        <v>1831</v>
      </c>
      <c r="E664" t="s">
        <v>22</v>
      </c>
      <c r="F664" t="s">
        <v>2174</v>
      </c>
      <c r="G664" t="s">
        <v>2175</v>
      </c>
      <c r="H664">
        <f t="shared" si="85"/>
        <v>6100000</v>
      </c>
      <c r="I664">
        <f t="shared" si="86"/>
        <v>430600</v>
      </c>
      <c r="J664">
        <f t="shared" si="87"/>
        <v>567000</v>
      </c>
      <c r="K664" s="2">
        <f t="shared" si="88"/>
        <v>7.0590163934426228E-2</v>
      </c>
      <c r="L664" t="str">
        <f t="shared" si="89"/>
        <v>Tier 1</v>
      </c>
    </row>
    <row r="665" spans="1:12" x14ac:dyDescent="0.35">
      <c r="A665" s="1" t="s">
        <v>2176</v>
      </c>
      <c r="B665">
        <v>686</v>
      </c>
      <c r="C665" t="s">
        <v>69</v>
      </c>
      <c r="D665" t="s">
        <v>1288</v>
      </c>
      <c r="E665" t="s">
        <v>22</v>
      </c>
      <c r="F665" t="s">
        <v>2177</v>
      </c>
      <c r="G665" t="s">
        <v>2178</v>
      </c>
      <c r="H665">
        <f t="shared" si="85"/>
        <v>18100000</v>
      </c>
      <c r="I665">
        <f t="shared" si="86"/>
        <v>126700</v>
      </c>
      <c r="J665">
        <f t="shared" si="87"/>
        <v>187800</v>
      </c>
      <c r="K665" s="2">
        <f t="shared" si="88"/>
        <v>7.0000000000000001E-3</v>
      </c>
      <c r="L665" t="str">
        <f t="shared" si="89"/>
        <v>Tier 2</v>
      </c>
    </row>
    <row r="666" spans="1:12" x14ac:dyDescent="0.35">
      <c r="A666" s="1" t="s">
        <v>2179</v>
      </c>
      <c r="B666">
        <v>687</v>
      </c>
      <c r="C666" t="s">
        <v>69</v>
      </c>
      <c r="D666" t="s">
        <v>611</v>
      </c>
      <c r="E666" t="s">
        <v>22</v>
      </c>
      <c r="F666" t="s">
        <v>2180</v>
      </c>
      <c r="G666" t="s">
        <v>2181</v>
      </c>
      <c r="H666">
        <f t="shared" si="85"/>
        <v>24500000</v>
      </c>
      <c r="I666">
        <f t="shared" si="86"/>
        <v>106300</v>
      </c>
      <c r="J666">
        <f t="shared" si="87"/>
        <v>139100</v>
      </c>
      <c r="K666" s="2">
        <f t="shared" si="88"/>
        <v>4.3387755102040817E-3</v>
      </c>
      <c r="L666" t="str">
        <f t="shared" si="89"/>
        <v>Tier 2</v>
      </c>
    </row>
    <row r="667" spans="1:12" x14ac:dyDescent="0.35">
      <c r="A667" s="1" t="s">
        <v>2182</v>
      </c>
      <c r="B667">
        <v>688</v>
      </c>
      <c r="C667" t="s">
        <v>1564</v>
      </c>
      <c r="D667" t="s">
        <v>1921</v>
      </c>
      <c r="E667" t="s">
        <v>10</v>
      </c>
      <c r="F667" t="s">
        <v>2183</v>
      </c>
      <c r="G667" t="s">
        <v>2184</v>
      </c>
      <c r="H667">
        <f t="shared" si="85"/>
        <v>10600000</v>
      </c>
      <c r="I667">
        <f t="shared" si="86"/>
        <v>260200</v>
      </c>
      <c r="J667">
        <f t="shared" si="87"/>
        <v>318900</v>
      </c>
      <c r="K667" s="2">
        <f t="shared" si="88"/>
        <v>2.4547169811320754E-2</v>
      </c>
      <c r="L667" t="str">
        <f t="shared" si="89"/>
        <v>Tier 2</v>
      </c>
    </row>
    <row r="668" spans="1:12" x14ac:dyDescent="0.35">
      <c r="A668" s="1" t="s">
        <v>2185</v>
      </c>
      <c r="B668">
        <v>689</v>
      </c>
      <c r="C668" t="s">
        <v>2186</v>
      </c>
      <c r="D668" t="s">
        <v>802</v>
      </c>
      <c r="E668" t="s">
        <v>141</v>
      </c>
      <c r="F668" t="s">
        <v>1342</v>
      </c>
      <c r="G668" t="s">
        <v>2187</v>
      </c>
      <c r="H668">
        <f t="shared" si="85"/>
        <v>9400000</v>
      </c>
      <c r="I668">
        <f t="shared" si="86"/>
        <v>314500</v>
      </c>
      <c r="J668">
        <f t="shared" si="87"/>
        <v>365500</v>
      </c>
      <c r="K668" s="2">
        <f t="shared" si="88"/>
        <v>3.3457446808510635E-2</v>
      </c>
      <c r="L668" t="str">
        <f t="shared" si="89"/>
        <v>Tier 1</v>
      </c>
    </row>
    <row r="669" spans="1:12" x14ac:dyDescent="0.35">
      <c r="A669" s="1" t="s">
        <v>2188</v>
      </c>
      <c r="B669">
        <v>690</v>
      </c>
      <c r="C669" t="s">
        <v>920</v>
      </c>
      <c r="D669" t="s">
        <v>695</v>
      </c>
      <c r="E669" t="s">
        <v>42</v>
      </c>
      <c r="F669" t="s">
        <v>2189</v>
      </c>
      <c r="G669" t="s">
        <v>1503</v>
      </c>
      <c r="H669">
        <f t="shared" si="85"/>
        <v>21700000</v>
      </c>
      <c r="I669">
        <f t="shared" si="86"/>
        <v>71100</v>
      </c>
      <c r="J669">
        <f t="shared" si="87"/>
        <v>160900</v>
      </c>
      <c r="K669" s="2">
        <f t="shared" si="88"/>
        <v>3.2764976958525346E-3</v>
      </c>
      <c r="L669" t="str">
        <f t="shared" si="89"/>
        <v>Tier 2</v>
      </c>
    </row>
    <row r="670" spans="1:12" x14ac:dyDescent="0.35">
      <c r="A670" s="1" t="s">
        <v>2190</v>
      </c>
      <c r="B670">
        <v>691</v>
      </c>
      <c r="C670" t="s">
        <v>2191</v>
      </c>
      <c r="D670" t="s">
        <v>142</v>
      </c>
      <c r="E670" t="s">
        <v>1102</v>
      </c>
      <c r="F670" t="s">
        <v>2192</v>
      </c>
      <c r="G670" t="s">
        <v>2193</v>
      </c>
      <c r="H670">
        <f t="shared" si="85"/>
        <v>3700000</v>
      </c>
      <c r="I670">
        <f t="shared" si="86"/>
        <v>382200</v>
      </c>
      <c r="J670">
        <f t="shared" si="87"/>
        <v>936000</v>
      </c>
      <c r="K670" s="2">
        <f t="shared" si="88"/>
        <v>0.10329729729729729</v>
      </c>
      <c r="L670" t="str">
        <f t="shared" si="89"/>
        <v>Tier 1</v>
      </c>
    </row>
    <row r="671" spans="1:12" x14ac:dyDescent="0.35">
      <c r="A671" s="1" t="s">
        <v>2194</v>
      </c>
      <c r="B671">
        <v>692</v>
      </c>
      <c r="C671" t="s">
        <v>313</v>
      </c>
      <c r="D671" t="s">
        <v>2195</v>
      </c>
      <c r="E671" t="s">
        <v>58</v>
      </c>
      <c r="F671" t="s">
        <v>2196</v>
      </c>
      <c r="G671" t="s">
        <v>2197</v>
      </c>
      <c r="H671">
        <f t="shared" si="85"/>
        <v>15400000</v>
      </c>
      <c r="I671">
        <f t="shared" si="86"/>
        <v>177600</v>
      </c>
      <c r="J671">
        <f t="shared" si="87"/>
        <v>219300</v>
      </c>
      <c r="K671" s="2">
        <f t="shared" si="88"/>
        <v>1.1532467532467533E-2</v>
      </c>
      <c r="L671" t="str">
        <f t="shared" si="89"/>
        <v>Tier 2</v>
      </c>
    </row>
    <row r="672" spans="1:12" x14ac:dyDescent="0.35">
      <c r="A672" s="1" t="s">
        <v>2198</v>
      </c>
      <c r="B672">
        <v>693</v>
      </c>
      <c r="C672" t="s">
        <v>8</v>
      </c>
      <c r="D672" t="s">
        <v>671</v>
      </c>
      <c r="E672" t="s">
        <v>1102</v>
      </c>
      <c r="F672" t="s">
        <v>2199</v>
      </c>
      <c r="G672" t="s">
        <v>2200</v>
      </c>
      <c r="H672">
        <f t="shared" si="85"/>
        <v>13500000</v>
      </c>
      <c r="I672">
        <f t="shared" si="86"/>
        <v>176100</v>
      </c>
      <c r="J672">
        <f t="shared" si="87"/>
        <v>248800</v>
      </c>
      <c r="K672" s="2">
        <f t="shared" si="88"/>
        <v>1.3044444444444444E-2</v>
      </c>
      <c r="L672" t="str">
        <f t="shared" si="89"/>
        <v>Tier 2</v>
      </c>
    </row>
    <row r="673" spans="1:12" x14ac:dyDescent="0.35">
      <c r="A673" s="1" t="s">
        <v>2201</v>
      </c>
      <c r="B673">
        <v>694</v>
      </c>
      <c r="C673" t="s">
        <v>920</v>
      </c>
      <c r="D673" t="s">
        <v>175</v>
      </c>
      <c r="E673" t="s">
        <v>141</v>
      </c>
      <c r="F673" t="s">
        <v>1942</v>
      </c>
      <c r="G673" t="s">
        <v>2202</v>
      </c>
      <c r="H673">
        <f t="shared" si="85"/>
        <v>3800000</v>
      </c>
      <c r="I673">
        <f t="shared" si="86"/>
        <v>607300</v>
      </c>
      <c r="J673">
        <f t="shared" si="87"/>
        <v>887800</v>
      </c>
      <c r="K673" s="2">
        <f t="shared" si="88"/>
        <v>0.15981578947368422</v>
      </c>
      <c r="L673" t="str">
        <f t="shared" si="89"/>
        <v>Tier 1</v>
      </c>
    </row>
    <row r="674" spans="1:12" x14ac:dyDescent="0.35">
      <c r="A674" s="1" t="s">
        <v>2203</v>
      </c>
      <c r="B674">
        <v>695</v>
      </c>
      <c r="C674" t="s">
        <v>26</v>
      </c>
      <c r="D674" t="s">
        <v>63</v>
      </c>
      <c r="E674" t="s">
        <v>22</v>
      </c>
      <c r="F674" t="s">
        <v>2204</v>
      </c>
      <c r="G674" t="s">
        <v>2205</v>
      </c>
      <c r="H674">
        <f t="shared" si="85"/>
        <v>7000000</v>
      </c>
      <c r="I674">
        <f t="shared" si="86"/>
        <v>305900</v>
      </c>
      <c r="J674">
        <f t="shared" si="87"/>
        <v>490900</v>
      </c>
      <c r="K674" s="2">
        <f t="shared" si="88"/>
        <v>4.3700000000000003E-2</v>
      </c>
      <c r="L674" t="str">
        <f t="shared" si="89"/>
        <v>Tier 1</v>
      </c>
    </row>
    <row r="675" spans="1:12" hidden="1" x14ac:dyDescent="0.35">
      <c r="A675" s="1" t="s">
        <v>2206</v>
      </c>
      <c r="B675">
        <v>696</v>
      </c>
      <c r="D675" t="s">
        <v>1009</v>
      </c>
      <c r="F675">
        <v>0</v>
      </c>
      <c r="G675" t="s">
        <v>1036</v>
      </c>
      <c r="K675"/>
    </row>
    <row r="676" spans="1:12" x14ac:dyDescent="0.35">
      <c r="A676" s="1" t="s">
        <v>2207</v>
      </c>
      <c r="B676">
        <v>697</v>
      </c>
      <c r="C676" t="s">
        <v>834</v>
      </c>
      <c r="D676" t="s">
        <v>812</v>
      </c>
      <c r="E676" t="s">
        <v>279</v>
      </c>
      <c r="F676" t="s">
        <v>2208</v>
      </c>
      <c r="G676" t="s">
        <v>2209</v>
      </c>
      <c r="H676">
        <f t="shared" ref="H676:H690" si="90">IF(RIGHT(D676,1)="M", VALUE(SUBSTITUTE(D676,"M",""))*1000000, VALUE(SUBSTITUTE(D676,"K",""))*1000)</f>
        <v>8700000</v>
      </c>
      <c r="I676">
        <f t="shared" ref="I676:I690" si="91">IF(RIGHT(F676,1)="M", VALUE(SUBSTITUTE(F676,"M",""))*1000000, VALUE(SUBSTITUTE(F676,"K",""))*1000)</f>
        <v>330300</v>
      </c>
      <c r="J676">
        <f t="shared" ref="J676:J690" si="92">IF(RIGHT(G676,1)="M", VALUE(SUBSTITUTE(G676,"M",""))*1000000, VALUE(SUBSTITUTE(G676,"K",""))*1000)</f>
        <v>392100</v>
      </c>
      <c r="K676" s="2">
        <f t="shared" ref="K676:K690" si="93">I676/H676</f>
        <v>3.796551724137931E-2</v>
      </c>
      <c r="L676" t="str">
        <f t="shared" ref="L676:L690" si="94">IF(H676&lt;10000000,"Tier 1",
 IF(H676&lt;50000000,"Tier 2",
 IF(H676&lt;100000000,"Tier 3",
 "Tier 4")))</f>
        <v>Tier 1</v>
      </c>
    </row>
    <row r="677" spans="1:12" x14ac:dyDescent="0.35">
      <c r="A677" s="1" t="s">
        <v>2210</v>
      </c>
      <c r="B677">
        <v>698</v>
      </c>
      <c r="C677" t="s">
        <v>310</v>
      </c>
      <c r="D677" t="s">
        <v>1517</v>
      </c>
      <c r="E677" t="s">
        <v>22</v>
      </c>
      <c r="F677" t="s">
        <v>2211</v>
      </c>
      <c r="G677" t="s">
        <v>2212</v>
      </c>
      <c r="H677">
        <f t="shared" si="90"/>
        <v>7400000</v>
      </c>
      <c r="I677">
        <f t="shared" si="91"/>
        <v>251600</v>
      </c>
      <c r="J677">
        <f t="shared" si="92"/>
        <v>464500</v>
      </c>
      <c r="K677" s="2">
        <f t="shared" si="93"/>
        <v>3.4000000000000002E-2</v>
      </c>
      <c r="L677" t="str">
        <f t="shared" si="94"/>
        <v>Tier 1</v>
      </c>
    </row>
    <row r="678" spans="1:12" x14ac:dyDescent="0.35">
      <c r="A678" s="1" t="s">
        <v>2213</v>
      </c>
      <c r="B678">
        <v>699</v>
      </c>
      <c r="C678" t="s">
        <v>1193</v>
      </c>
      <c r="D678" t="s">
        <v>1603</v>
      </c>
      <c r="E678" t="s">
        <v>22</v>
      </c>
      <c r="F678" t="s">
        <v>2214</v>
      </c>
      <c r="G678" t="s">
        <v>2215</v>
      </c>
      <c r="H678">
        <f t="shared" si="90"/>
        <v>28400000</v>
      </c>
      <c r="I678">
        <f t="shared" si="91"/>
        <v>66900</v>
      </c>
      <c r="J678">
        <f t="shared" si="92"/>
        <v>118100</v>
      </c>
      <c r="K678" s="2">
        <f t="shared" si="93"/>
        <v>2.3556338028169013E-3</v>
      </c>
      <c r="L678" t="str">
        <f t="shared" si="94"/>
        <v>Tier 2</v>
      </c>
    </row>
    <row r="679" spans="1:12" x14ac:dyDescent="0.35">
      <c r="A679" s="1" t="s">
        <v>2216</v>
      </c>
      <c r="B679">
        <v>700</v>
      </c>
      <c r="D679" t="s">
        <v>23</v>
      </c>
      <c r="E679" t="s">
        <v>22</v>
      </c>
      <c r="F679" t="s">
        <v>434</v>
      </c>
      <c r="G679" t="s">
        <v>90</v>
      </c>
      <c r="H679">
        <f t="shared" si="90"/>
        <v>3000000</v>
      </c>
      <c r="I679">
        <f t="shared" si="91"/>
        <v>1000000</v>
      </c>
      <c r="J679">
        <f t="shared" si="92"/>
        <v>1100000</v>
      </c>
      <c r="K679" s="2">
        <f t="shared" si="93"/>
        <v>0.33333333333333331</v>
      </c>
      <c r="L679" t="str">
        <f t="shared" si="94"/>
        <v>Tier 1</v>
      </c>
    </row>
    <row r="680" spans="1:12" x14ac:dyDescent="0.35">
      <c r="A680" s="1" t="s">
        <v>2217</v>
      </c>
      <c r="B680">
        <v>701</v>
      </c>
      <c r="C680" t="s">
        <v>542</v>
      </c>
      <c r="D680" t="s">
        <v>94</v>
      </c>
      <c r="E680" t="s">
        <v>22</v>
      </c>
      <c r="F680" t="s">
        <v>2218</v>
      </c>
      <c r="G680" t="s">
        <v>2219</v>
      </c>
      <c r="H680">
        <f t="shared" si="90"/>
        <v>5600000</v>
      </c>
      <c r="I680">
        <f t="shared" si="91"/>
        <v>364700</v>
      </c>
      <c r="J680">
        <f t="shared" si="92"/>
        <v>608300</v>
      </c>
      <c r="K680" s="2">
        <f t="shared" si="93"/>
        <v>6.5125000000000002E-2</v>
      </c>
      <c r="L680" t="str">
        <f t="shared" si="94"/>
        <v>Tier 1</v>
      </c>
    </row>
    <row r="681" spans="1:12" x14ac:dyDescent="0.35">
      <c r="A681" s="1" t="s">
        <v>2220</v>
      </c>
      <c r="B681">
        <v>702</v>
      </c>
      <c r="C681" t="s">
        <v>76</v>
      </c>
      <c r="D681" t="s">
        <v>1013</v>
      </c>
      <c r="E681" t="s">
        <v>519</v>
      </c>
      <c r="F681" t="s">
        <v>2221</v>
      </c>
      <c r="G681" t="s">
        <v>2222</v>
      </c>
      <c r="H681">
        <f t="shared" si="90"/>
        <v>6500000</v>
      </c>
      <c r="I681">
        <f t="shared" si="91"/>
        <v>379900</v>
      </c>
      <c r="J681">
        <f t="shared" si="92"/>
        <v>541000</v>
      </c>
      <c r="K681" s="2">
        <f t="shared" si="93"/>
        <v>5.8446153846153849E-2</v>
      </c>
      <c r="L681" t="str">
        <f t="shared" si="94"/>
        <v>Tier 1</v>
      </c>
    </row>
    <row r="682" spans="1:12" x14ac:dyDescent="0.35">
      <c r="A682" s="1" t="s">
        <v>2223</v>
      </c>
      <c r="B682">
        <v>703</v>
      </c>
      <c r="C682" t="s">
        <v>76</v>
      </c>
      <c r="D682" t="s">
        <v>812</v>
      </c>
      <c r="E682" t="s">
        <v>141</v>
      </c>
      <c r="F682" t="s">
        <v>2224</v>
      </c>
      <c r="G682" t="s">
        <v>2225</v>
      </c>
      <c r="H682">
        <f t="shared" si="90"/>
        <v>8700000</v>
      </c>
      <c r="I682">
        <f t="shared" si="91"/>
        <v>316900</v>
      </c>
      <c r="J682">
        <f t="shared" si="92"/>
        <v>383600</v>
      </c>
      <c r="K682" s="2">
        <f t="shared" si="93"/>
        <v>3.6425287356321841E-2</v>
      </c>
      <c r="L682" t="str">
        <f t="shared" si="94"/>
        <v>Tier 1</v>
      </c>
    </row>
    <row r="683" spans="1:12" x14ac:dyDescent="0.35">
      <c r="A683" s="1" t="s">
        <v>2226</v>
      </c>
      <c r="B683">
        <v>704</v>
      </c>
      <c r="C683" t="s">
        <v>26</v>
      </c>
      <c r="D683" t="s">
        <v>104</v>
      </c>
      <c r="E683" t="s">
        <v>22</v>
      </c>
      <c r="F683" t="s">
        <v>2227</v>
      </c>
      <c r="G683" t="s">
        <v>2228</v>
      </c>
      <c r="H683">
        <f t="shared" si="90"/>
        <v>3900000</v>
      </c>
      <c r="I683">
        <f t="shared" si="91"/>
        <v>491700</v>
      </c>
      <c r="J683">
        <f t="shared" si="92"/>
        <v>848700</v>
      </c>
      <c r="K683" s="2">
        <f t="shared" si="93"/>
        <v>0.12607692307692309</v>
      </c>
      <c r="L683" t="str">
        <f t="shared" si="94"/>
        <v>Tier 1</v>
      </c>
    </row>
    <row r="684" spans="1:12" x14ac:dyDescent="0.35">
      <c r="A684" s="1" t="s">
        <v>2229</v>
      </c>
      <c r="B684">
        <v>705</v>
      </c>
      <c r="C684" t="s">
        <v>2230</v>
      </c>
      <c r="D684" t="s">
        <v>709</v>
      </c>
      <c r="E684" t="s">
        <v>42</v>
      </c>
      <c r="F684" t="s">
        <v>2231</v>
      </c>
      <c r="G684" t="s">
        <v>2232</v>
      </c>
      <c r="H684">
        <f t="shared" si="90"/>
        <v>16100000.000000002</v>
      </c>
      <c r="I684">
        <f t="shared" si="91"/>
        <v>105800</v>
      </c>
      <c r="J684">
        <f t="shared" si="92"/>
        <v>205500</v>
      </c>
      <c r="K684" s="2">
        <f t="shared" si="93"/>
        <v>6.5714285714285709E-3</v>
      </c>
      <c r="L684" t="str">
        <f t="shared" si="94"/>
        <v>Tier 2</v>
      </c>
    </row>
    <row r="685" spans="1:12" x14ac:dyDescent="0.35">
      <c r="A685" s="1" t="s">
        <v>2233</v>
      </c>
      <c r="B685">
        <v>707</v>
      </c>
      <c r="C685" t="s">
        <v>69</v>
      </c>
      <c r="D685" t="s">
        <v>2234</v>
      </c>
      <c r="E685" t="s">
        <v>22</v>
      </c>
      <c r="F685" t="s">
        <v>2235</v>
      </c>
      <c r="G685" t="s">
        <v>2236</v>
      </c>
      <c r="H685">
        <f t="shared" si="90"/>
        <v>21500000</v>
      </c>
      <c r="I685">
        <f t="shared" si="91"/>
        <v>123900</v>
      </c>
      <c r="J685">
        <f t="shared" si="92"/>
        <v>152500</v>
      </c>
      <c r="K685" s="2">
        <f t="shared" si="93"/>
        <v>5.7627906976744185E-3</v>
      </c>
      <c r="L685" t="str">
        <f t="shared" si="94"/>
        <v>Tier 2</v>
      </c>
    </row>
    <row r="686" spans="1:12" x14ac:dyDescent="0.35">
      <c r="A686" s="1" t="s">
        <v>2237</v>
      </c>
      <c r="B686">
        <v>708</v>
      </c>
      <c r="C686" t="s">
        <v>69</v>
      </c>
      <c r="D686" t="s">
        <v>1202</v>
      </c>
      <c r="E686" t="s">
        <v>519</v>
      </c>
      <c r="F686" t="s">
        <v>2238</v>
      </c>
      <c r="G686" t="s">
        <v>2239</v>
      </c>
      <c r="H686">
        <f t="shared" si="90"/>
        <v>12200000</v>
      </c>
      <c r="I686">
        <f t="shared" si="91"/>
        <v>190900</v>
      </c>
      <c r="J686">
        <f t="shared" si="92"/>
        <v>280700</v>
      </c>
      <c r="K686" s="2">
        <f t="shared" si="93"/>
        <v>1.5647540983606559E-2</v>
      </c>
      <c r="L686" t="str">
        <f t="shared" si="94"/>
        <v>Tier 2</v>
      </c>
    </row>
    <row r="687" spans="1:12" x14ac:dyDescent="0.35">
      <c r="A687" s="1" t="s">
        <v>2240</v>
      </c>
      <c r="B687">
        <v>709</v>
      </c>
      <c r="C687" t="s">
        <v>69</v>
      </c>
      <c r="D687" t="s">
        <v>883</v>
      </c>
      <c r="E687" t="s">
        <v>265</v>
      </c>
      <c r="F687" t="s">
        <v>2241</v>
      </c>
      <c r="G687" t="s">
        <v>2242</v>
      </c>
      <c r="H687">
        <f t="shared" si="90"/>
        <v>13700000</v>
      </c>
      <c r="I687">
        <f t="shared" si="91"/>
        <v>198600</v>
      </c>
      <c r="J687">
        <f t="shared" si="92"/>
        <v>245400</v>
      </c>
      <c r="K687" s="2">
        <f t="shared" si="93"/>
        <v>1.4496350364963504E-2</v>
      </c>
      <c r="L687" t="str">
        <f t="shared" si="94"/>
        <v>Tier 2</v>
      </c>
    </row>
    <row r="688" spans="1:12" x14ac:dyDescent="0.35">
      <c r="A688" s="1" t="s">
        <v>2243</v>
      </c>
      <c r="B688">
        <v>710</v>
      </c>
      <c r="C688" t="s">
        <v>1927</v>
      </c>
      <c r="D688" t="s">
        <v>1202</v>
      </c>
      <c r="E688" t="s">
        <v>22</v>
      </c>
      <c r="F688" t="s">
        <v>2244</v>
      </c>
      <c r="G688" t="s">
        <v>2245</v>
      </c>
      <c r="H688">
        <f t="shared" si="90"/>
        <v>12200000</v>
      </c>
      <c r="I688">
        <f t="shared" si="91"/>
        <v>158600</v>
      </c>
      <c r="J688">
        <f t="shared" si="92"/>
        <v>272300</v>
      </c>
      <c r="K688" s="2">
        <f t="shared" si="93"/>
        <v>1.2999999999999999E-2</v>
      </c>
      <c r="L688" t="str">
        <f t="shared" si="94"/>
        <v>Tier 2</v>
      </c>
    </row>
    <row r="689" spans="1:12" x14ac:dyDescent="0.35">
      <c r="A689" s="1" t="s">
        <v>2246</v>
      </c>
      <c r="B689">
        <v>711</v>
      </c>
      <c r="C689" t="s">
        <v>76</v>
      </c>
      <c r="D689" t="s">
        <v>60</v>
      </c>
      <c r="E689" t="s">
        <v>195</v>
      </c>
      <c r="F689" t="s">
        <v>2247</v>
      </c>
      <c r="G689" t="s">
        <v>2248</v>
      </c>
      <c r="H689">
        <f t="shared" si="90"/>
        <v>7300000</v>
      </c>
      <c r="I689">
        <f t="shared" si="91"/>
        <v>385100</v>
      </c>
      <c r="J689">
        <f t="shared" si="92"/>
        <v>449200</v>
      </c>
      <c r="K689" s="2">
        <f t="shared" si="93"/>
        <v>5.2753424657534249E-2</v>
      </c>
      <c r="L689" t="str">
        <f t="shared" si="94"/>
        <v>Tier 1</v>
      </c>
    </row>
    <row r="690" spans="1:12" x14ac:dyDescent="0.35">
      <c r="A690" s="1" t="s">
        <v>2249</v>
      </c>
      <c r="B690">
        <v>712</v>
      </c>
      <c r="C690" t="s">
        <v>8</v>
      </c>
      <c r="D690" t="s">
        <v>260</v>
      </c>
      <c r="E690" t="s">
        <v>1102</v>
      </c>
      <c r="F690" t="s">
        <v>2250</v>
      </c>
      <c r="G690" t="s">
        <v>2251</v>
      </c>
      <c r="H690">
        <f t="shared" si="90"/>
        <v>22200000</v>
      </c>
      <c r="I690">
        <f t="shared" si="91"/>
        <v>97300</v>
      </c>
      <c r="J690">
        <f t="shared" si="92"/>
        <v>146000</v>
      </c>
      <c r="K690" s="2">
        <f t="shared" si="93"/>
        <v>4.3828828828828825E-3</v>
      </c>
      <c r="L690" t="str">
        <f t="shared" si="94"/>
        <v>Tier 2</v>
      </c>
    </row>
    <row r="691" spans="1:12" hidden="1" x14ac:dyDescent="0.35">
      <c r="A691" s="1" t="s">
        <v>2252</v>
      </c>
      <c r="B691">
        <v>713</v>
      </c>
      <c r="C691" t="s">
        <v>2253</v>
      </c>
      <c r="D691" t="s">
        <v>71</v>
      </c>
      <c r="F691">
        <v>0</v>
      </c>
      <c r="G691" t="s">
        <v>2254</v>
      </c>
      <c r="K691"/>
    </row>
    <row r="692" spans="1:12" x14ac:dyDescent="0.35">
      <c r="A692" s="1" t="s">
        <v>2255</v>
      </c>
      <c r="B692">
        <v>714</v>
      </c>
      <c r="C692" t="s">
        <v>69</v>
      </c>
      <c r="D692" t="s">
        <v>1009</v>
      </c>
      <c r="E692" t="s">
        <v>10</v>
      </c>
      <c r="F692" t="s">
        <v>2256</v>
      </c>
      <c r="G692" t="s">
        <v>2257</v>
      </c>
      <c r="H692">
        <f t="shared" ref="H692:H736" si="95">IF(RIGHT(D692,1)="M", VALUE(SUBSTITUTE(D692,"M",""))*1000000, VALUE(SUBSTITUTE(D692,"K",""))*1000)</f>
        <v>5900000</v>
      </c>
      <c r="I692">
        <f t="shared" ref="I692:I736" si="96">IF(RIGHT(F692,1)="M", VALUE(SUBSTITUTE(F692,"M",""))*1000000, VALUE(SUBSTITUTE(F692,"K",""))*1000)</f>
        <v>481100</v>
      </c>
      <c r="J692">
        <f t="shared" ref="J692:J736" si="97">IF(RIGHT(G692,1)="M", VALUE(SUBSTITUTE(G692,"M",""))*1000000, VALUE(SUBSTITUTE(G692,"K",""))*1000)</f>
        <v>551900</v>
      </c>
      <c r="K692" s="2">
        <f t="shared" ref="K692:K736" si="98">I692/H692</f>
        <v>8.1542372881355935E-2</v>
      </c>
      <c r="L692" t="str">
        <f t="shared" ref="L692:L736" si="99">IF(H692&lt;10000000,"Tier 1",
 IF(H692&lt;50000000,"Tier 2",
 IF(H692&lt;100000000,"Tier 3",
 "Tier 4")))</f>
        <v>Tier 1</v>
      </c>
    </row>
    <row r="693" spans="1:12" x14ac:dyDescent="0.35">
      <c r="A693" s="1" t="s">
        <v>2258</v>
      </c>
      <c r="B693">
        <v>715</v>
      </c>
      <c r="C693" t="s">
        <v>26</v>
      </c>
      <c r="D693" t="s">
        <v>832</v>
      </c>
      <c r="E693" t="s">
        <v>58</v>
      </c>
      <c r="F693" t="s">
        <v>2259</v>
      </c>
      <c r="G693" t="s">
        <v>983</v>
      </c>
      <c r="H693">
        <f t="shared" si="95"/>
        <v>10200000</v>
      </c>
      <c r="I693">
        <f t="shared" si="96"/>
        <v>280800</v>
      </c>
      <c r="J693">
        <f t="shared" si="97"/>
        <v>312500</v>
      </c>
      <c r="K693" s="2">
        <f t="shared" si="98"/>
        <v>2.7529411764705882E-2</v>
      </c>
      <c r="L693" t="str">
        <f t="shared" si="99"/>
        <v>Tier 2</v>
      </c>
    </row>
    <row r="694" spans="1:12" x14ac:dyDescent="0.35">
      <c r="A694" s="1" t="s">
        <v>2260</v>
      </c>
      <c r="B694">
        <v>716</v>
      </c>
      <c r="C694" t="s">
        <v>1280</v>
      </c>
      <c r="D694" t="s">
        <v>1297</v>
      </c>
      <c r="E694" t="s">
        <v>252</v>
      </c>
      <c r="F694" t="s">
        <v>2261</v>
      </c>
      <c r="G694" t="s">
        <v>2262</v>
      </c>
      <c r="H694">
        <f t="shared" si="95"/>
        <v>13900000</v>
      </c>
      <c r="I694">
        <f t="shared" si="96"/>
        <v>171700</v>
      </c>
      <c r="J694">
        <f t="shared" si="97"/>
        <v>236000</v>
      </c>
      <c r="K694" s="2">
        <f t="shared" si="98"/>
        <v>1.2352517985611511E-2</v>
      </c>
      <c r="L694" t="str">
        <f t="shared" si="99"/>
        <v>Tier 2</v>
      </c>
    </row>
    <row r="695" spans="1:12" x14ac:dyDescent="0.35">
      <c r="A695" s="1" t="s">
        <v>2263</v>
      </c>
      <c r="B695">
        <v>717</v>
      </c>
      <c r="C695" t="s">
        <v>76</v>
      </c>
      <c r="D695" t="s">
        <v>1015</v>
      </c>
      <c r="E695" t="s">
        <v>519</v>
      </c>
      <c r="F695" t="s">
        <v>2264</v>
      </c>
      <c r="G695" t="s">
        <v>2265</v>
      </c>
      <c r="H695">
        <f t="shared" si="95"/>
        <v>12000000</v>
      </c>
      <c r="I695">
        <f t="shared" si="96"/>
        <v>188400</v>
      </c>
      <c r="J695">
        <f t="shared" si="97"/>
        <v>275200</v>
      </c>
      <c r="K695" s="2">
        <f t="shared" si="98"/>
        <v>1.5699999999999999E-2</v>
      </c>
      <c r="L695" t="str">
        <f t="shared" si="99"/>
        <v>Tier 2</v>
      </c>
    </row>
    <row r="696" spans="1:12" x14ac:dyDescent="0.35">
      <c r="A696" s="1" t="s">
        <v>2266</v>
      </c>
      <c r="B696">
        <v>718</v>
      </c>
      <c r="C696" t="s">
        <v>8</v>
      </c>
      <c r="D696" t="s">
        <v>18</v>
      </c>
      <c r="E696" t="s">
        <v>16</v>
      </c>
      <c r="F696" t="s">
        <v>2267</v>
      </c>
      <c r="G696" t="s">
        <v>2268</v>
      </c>
      <c r="H696">
        <f t="shared" si="95"/>
        <v>4800000</v>
      </c>
      <c r="I696">
        <f t="shared" si="96"/>
        <v>372700</v>
      </c>
      <c r="J696">
        <f t="shared" si="97"/>
        <v>675700</v>
      </c>
      <c r="K696" s="2">
        <f t="shared" si="98"/>
        <v>7.7645833333333331E-2</v>
      </c>
      <c r="L696" t="str">
        <f t="shared" si="99"/>
        <v>Tier 1</v>
      </c>
    </row>
    <row r="697" spans="1:12" x14ac:dyDescent="0.35">
      <c r="A697" s="1" t="s">
        <v>2269</v>
      </c>
      <c r="B697">
        <v>719</v>
      </c>
      <c r="C697" t="s">
        <v>76</v>
      </c>
      <c r="D697" t="s">
        <v>1831</v>
      </c>
      <c r="E697" t="s">
        <v>252</v>
      </c>
      <c r="F697" t="s">
        <v>2270</v>
      </c>
      <c r="G697" t="s">
        <v>2271</v>
      </c>
      <c r="H697">
        <f t="shared" si="95"/>
        <v>6100000</v>
      </c>
      <c r="I697">
        <f t="shared" si="96"/>
        <v>374400</v>
      </c>
      <c r="J697">
        <f t="shared" si="97"/>
        <v>528400</v>
      </c>
      <c r="K697" s="2">
        <f t="shared" si="98"/>
        <v>6.1377049180327867E-2</v>
      </c>
      <c r="L697" t="str">
        <f t="shared" si="99"/>
        <v>Tier 1</v>
      </c>
    </row>
    <row r="698" spans="1:12" x14ac:dyDescent="0.35">
      <c r="A698" s="1" t="s">
        <v>2272</v>
      </c>
      <c r="B698">
        <v>720</v>
      </c>
      <c r="C698" t="s">
        <v>76</v>
      </c>
      <c r="D698" t="s">
        <v>543</v>
      </c>
      <c r="E698" t="s">
        <v>16</v>
      </c>
      <c r="F698" t="s">
        <v>1704</v>
      </c>
      <c r="G698" t="s">
        <v>2273</v>
      </c>
      <c r="H698">
        <f t="shared" si="95"/>
        <v>13600000</v>
      </c>
      <c r="I698">
        <f t="shared" si="96"/>
        <v>165200</v>
      </c>
      <c r="J698">
        <f t="shared" si="97"/>
        <v>233300</v>
      </c>
      <c r="K698" s="2">
        <f t="shared" si="98"/>
        <v>1.2147058823529412E-2</v>
      </c>
      <c r="L698" t="str">
        <f t="shared" si="99"/>
        <v>Tier 2</v>
      </c>
    </row>
    <row r="699" spans="1:12" x14ac:dyDescent="0.35">
      <c r="A699" s="1" t="s">
        <v>2274</v>
      </c>
      <c r="B699">
        <v>721</v>
      </c>
      <c r="C699" t="s">
        <v>8</v>
      </c>
      <c r="D699" t="s">
        <v>1260</v>
      </c>
      <c r="E699" t="s">
        <v>519</v>
      </c>
      <c r="F699" t="s">
        <v>2275</v>
      </c>
      <c r="G699" t="s">
        <v>1770</v>
      </c>
      <c r="H699">
        <f t="shared" si="95"/>
        <v>8100000</v>
      </c>
      <c r="I699">
        <f t="shared" si="96"/>
        <v>281200</v>
      </c>
      <c r="J699">
        <f t="shared" si="97"/>
        <v>400100</v>
      </c>
      <c r="K699" s="2">
        <f t="shared" si="98"/>
        <v>3.4716049382716052E-2</v>
      </c>
      <c r="L699" t="str">
        <f t="shared" si="99"/>
        <v>Tier 1</v>
      </c>
    </row>
    <row r="700" spans="1:12" x14ac:dyDescent="0.35">
      <c r="A700" s="1" t="s">
        <v>2276</v>
      </c>
      <c r="B700">
        <v>722</v>
      </c>
      <c r="D700" t="s">
        <v>2277</v>
      </c>
      <c r="E700" t="s">
        <v>265</v>
      </c>
      <c r="F700" t="s">
        <v>2278</v>
      </c>
      <c r="G700" t="s">
        <v>2279</v>
      </c>
      <c r="H700">
        <f t="shared" si="95"/>
        <v>12400000</v>
      </c>
      <c r="I700">
        <f t="shared" si="96"/>
        <v>174800</v>
      </c>
      <c r="J700">
        <f t="shared" si="97"/>
        <v>252100</v>
      </c>
      <c r="K700" s="2">
        <f t="shared" si="98"/>
        <v>1.4096774193548387E-2</v>
      </c>
      <c r="L700" t="str">
        <f t="shared" si="99"/>
        <v>Tier 2</v>
      </c>
    </row>
    <row r="701" spans="1:12" x14ac:dyDescent="0.35">
      <c r="A701" s="1" t="s">
        <v>2280</v>
      </c>
      <c r="B701">
        <v>723</v>
      </c>
      <c r="C701" t="s">
        <v>69</v>
      </c>
      <c r="D701" t="s">
        <v>1115</v>
      </c>
      <c r="E701" t="s">
        <v>10</v>
      </c>
      <c r="F701" t="s">
        <v>2281</v>
      </c>
      <c r="G701" t="s">
        <v>2282</v>
      </c>
      <c r="H701">
        <f t="shared" si="95"/>
        <v>11000000</v>
      </c>
      <c r="I701">
        <f t="shared" si="96"/>
        <v>211900</v>
      </c>
      <c r="J701">
        <f t="shared" si="97"/>
        <v>287600</v>
      </c>
      <c r="K701" s="2">
        <f t="shared" si="98"/>
        <v>1.9263636363636365E-2</v>
      </c>
      <c r="L701" t="str">
        <f t="shared" si="99"/>
        <v>Tier 2</v>
      </c>
    </row>
    <row r="702" spans="1:12" x14ac:dyDescent="0.35">
      <c r="A702" s="1" t="s">
        <v>2283</v>
      </c>
      <c r="B702">
        <v>724</v>
      </c>
      <c r="C702" t="s">
        <v>8</v>
      </c>
      <c r="D702" t="s">
        <v>2284</v>
      </c>
      <c r="E702" t="s">
        <v>22</v>
      </c>
      <c r="F702" t="s">
        <v>2285</v>
      </c>
      <c r="G702" t="s">
        <v>2286</v>
      </c>
      <c r="H702">
        <f t="shared" si="95"/>
        <v>69000000</v>
      </c>
      <c r="I702">
        <f t="shared" si="96"/>
        <v>29900</v>
      </c>
      <c r="J702">
        <f t="shared" si="97"/>
        <v>45300</v>
      </c>
      <c r="K702" s="2">
        <f t="shared" si="98"/>
        <v>4.3333333333333331E-4</v>
      </c>
      <c r="L702" t="str">
        <f t="shared" si="99"/>
        <v>Tier 3</v>
      </c>
    </row>
    <row r="703" spans="1:12" x14ac:dyDescent="0.35">
      <c r="A703" s="1" t="s">
        <v>2287</v>
      </c>
      <c r="B703">
        <v>725</v>
      </c>
      <c r="C703" t="s">
        <v>76</v>
      </c>
      <c r="D703" t="s">
        <v>677</v>
      </c>
      <c r="E703" t="s">
        <v>10</v>
      </c>
      <c r="F703" t="s">
        <v>2288</v>
      </c>
      <c r="G703" t="s">
        <v>2289</v>
      </c>
      <c r="H703">
        <f t="shared" si="95"/>
        <v>14600000</v>
      </c>
      <c r="I703">
        <f t="shared" si="96"/>
        <v>157300</v>
      </c>
      <c r="J703">
        <f t="shared" si="97"/>
        <v>214400</v>
      </c>
      <c r="K703" s="2">
        <f t="shared" si="98"/>
        <v>1.0773972602739726E-2</v>
      </c>
      <c r="L703" t="str">
        <f t="shared" si="99"/>
        <v>Tier 2</v>
      </c>
    </row>
    <row r="704" spans="1:12" x14ac:dyDescent="0.35">
      <c r="A704" s="1" t="s">
        <v>2290</v>
      </c>
      <c r="B704">
        <v>726</v>
      </c>
      <c r="C704" t="s">
        <v>69</v>
      </c>
      <c r="D704" t="s">
        <v>858</v>
      </c>
      <c r="E704" t="s">
        <v>265</v>
      </c>
      <c r="F704" t="s">
        <v>2291</v>
      </c>
      <c r="G704" t="s">
        <v>2292</v>
      </c>
      <c r="H704">
        <f t="shared" si="95"/>
        <v>9300000</v>
      </c>
      <c r="I704">
        <f t="shared" si="96"/>
        <v>263700</v>
      </c>
      <c r="J704">
        <f t="shared" si="97"/>
        <v>341700</v>
      </c>
      <c r="K704" s="2">
        <f t="shared" si="98"/>
        <v>2.8354838709677418E-2</v>
      </c>
      <c r="L704" t="str">
        <f t="shared" si="99"/>
        <v>Tier 1</v>
      </c>
    </row>
    <row r="705" spans="1:12" x14ac:dyDescent="0.35">
      <c r="A705" s="1" t="s">
        <v>2293</v>
      </c>
      <c r="B705">
        <v>727</v>
      </c>
      <c r="C705" t="s">
        <v>26</v>
      </c>
      <c r="D705" t="s">
        <v>183</v>
      </c>
      <c r="E705" t="s">
        <v>58</v>
      </c>
      <c r="F705" t="s">
        <v>2294</v>
      </c>
      <c r="G705" t="s">
        <v>90</v>
      </c>
      <c r="H705">
        <f t="shared" si="95"/>
        <v>2900000</v>
      </c>
      <c r="I705">
        <f t="shared" si="96"/>
        <v>835000</v>
      </c>
      <c r="J705">
        <f t="shared" si="97"/>
        <v>1100000</v>
      </c>
      <c r="K705" s="2">
        <f t="shared" si="98"/>
        <v>0.28793103448275864</v>
      </c>
      <c r="L705" t="str">
        <f t="shared" si="99"/>
        <v>Tier 1</v>
      </c>
    </row>
    <row r="706" spans="1:12" x14ac:dyDescent="0.35">
      <c r="A706" s="1" t="s">
        <v>2295</v>
      </c>
      <c r="B706">
        <v>728</v>
      </c>
      <c r="C706" t="s">
        <v>330</v>
      </c>
      <c r="D706" t="s">
        <v>812</v>
      </c>
      <c r="E706" t="s">
        <v>10</v>
      </c>
      <c r="F706" t="s">
        <v>2296</v>
      </c>
      <c r="G706" t="s">
        <v>2297</v>
      </c>
      <c r="H706">
        <f t="shared" si="95"/>
        <v>8700000</v>
      </c>
      <c r="I706">
        <f t="shared" si="96"/>
        <v>286400</v>
      </c>
      <c r="J706">
        <f t="shared" si="97"/>
        <v>359100</v>
      </c>
      <c r="K706" s="2">
        <f t="shared" si="98"/>
        <v>3.291954022988506E-2</v>
      </c>
      <c r="L706" t="str">
        <f t="shared" si="99"/>
        <v>Tier 1</v>
      </c>
    </row>
    <row r="707" spans="1:12" x14ac:dyDescent="0.35">
      <c r="A707" s="1" t="s">
        <v>2298</v>
      </c>
      <c r="B707">
        <v>729</v>
      </c>
      <c r="C707" t="s">
        <v>69</v>
      </c>
      <c r="D707" t="s">
        <v>55</v>
      </c>
      <c r="E707" t="s">
        <v>22</v>
      </c>
      <c r="F707" t="s">
        <v>2299</v>
      </c>
      <c r="G707" t="s">
        <v>2300</v>
      </c>
      <c r="H707">
        <f t="shared" si="95"/>
        <v>13300000</v>
      </c>
      <c r="I707">
        <f t="shared" si="96"/>
        <v>202700</v>
      </c>
      <c r="J707">
        <f t="shared" si="97"/>
        <v>229300</v>
      </c>
      <c r="K707" s="2">
        <f t="shared" si="98"/>
        <v>1.5240601503759398E-2</v>
      </c>
      <c r="L707" t="str">
        <f t="shared" si="99"/>
        <v>Tier 2</v>
      </c>
    </row>
    <row r="708" spans="1:12" x14ac:dyDescent="0.35">
      <c r="A708" s="1" t="s">
        <v>2301</v>
      </c>
      <c r="B708">
        <v>730</v>
      </c>
      <c r="C708" t="s">
        <v>76</v>
      </c>
      <c r="D708" t="s">
        <v>60</v>
      </c>
      <c r="E708" t="s">
        <v>22</v>
      </c>
      <c r="F708" t="s">
        <v>2302</v>
      </c>
      <c r="G708" t="s">
        <v>2303</v>
      </c>
      <c r="H708">
        <f t="shared" si="95"/>
        <v>7300000</v>
      </c>
      <c r="I708">
        <f t="shared" si="96"/>
        <v>271100</v>
      </c>
      <c r="J708">
        <f t="shared" si="97"/>
        <v>423600</v>
      </c>
      <c r="K708" s="2">
        <f t="shared" si="98"/>
        <v>3.7136986301369863E-2</v>
      </c>
      <c r="L708" t="str">
        <f t="shared" si="99"/>
        <v>Tier 1</v>
      </c>
    </row>
    <row r="709" spans="1:12" x14ac:dyDescent="0.35">
      <c r="A709" s="1" t="s">
        <v>2304</v>
      </c>
      <c r="B709">
        <v>731</v>
      </c>
      <c r="C709" t="s">
        <v>76</v>
      </c>
      <c r="D709" t="s">
        <v>1930</v>
      </c>
      <c r="E709" t="s">
        <v>114</v>
      </c>
      <c r="F709" t="s">
        <v>2305</v>
      </c>
      <c r="G709" t="s">
        <v>2306</v>
      </c>
      <c r="H709">
        <f t="shared" si="95"/>
        <v>4200000</v>
      </c>
      <c r="I709">
        <f t="shared" si="96"/>
        <v>600100</v>
      </c>
      <c r="J709">
        <f t="shared" si="97"/>
        <v>736100</v>
      </c>
      <c r="K709" s="2">
        <f t="shared" si="98"/>
        <v>0.14288095238095239</v>
      </c>
      <c r="L709" t="str">
        <f t="shared" si="99"/>
        <v>Tier 1</v>
      </c>
    </row>
    <row r="710" spans="1:12" x14ac:dyDescent="0.35">
      <c r="A710" s="1" t="s">
        <v>2307</v>
      </c>
      <c r="B710">
        <v>732</v>
      </c>
      <c r="C710" t="s">
        <v>8</v>
      </c>
      <c r="D710" t="s">
        <v>1004</v>
      </c>
      <c r="E710" t="s">
        <v>252</v>
      </c>
      <c r="F710" t="s">
        <v>2308</v>
      </c>
      <c r="G710" t="s">
        <v>2309</v>
      </c>
      <c r="H710">
        <f t="shared" si="95"/>
        <v>8400000</v>
      </c>
      <c r="I710">
        <f t="shared" si="96"/>
        <v>234700</v>
      </c>
      <c r="J710">
        <f t="shared" si="97"/>
        <v>366000</v>
      </c>
      <c r="K710" s="2">
        <f t="shared" si="98"/>
        <v>2.7940476190476189E-2</v>
      </c>
      <c r="L710" t="str">
        <f t="shared" si="99"/>
        <v>Tier 1</v>
      </c>
    </row>
    <row r="711" spans="1:12" x14ac:dyDescent="0.35">
      <c r="A711" s="1" t="s">
        <v>2310</v>
      </c>
      <c r="B711">
        <v>733</v>
      </c>
      <c r="C711" t="s">
        <v>69</v>
      </c>
      <c r="D711" t="s">
        <v>352</v>
      </c>
      <c r="E711" t="s">
        <v>42</v>
      </c>
      <c r="F711" t="s">
        <v>2311</v>
      </c>
      <c r="G711" t="s">
        <v>1953</v>
      </c>
      <c r="H711">
        <f t="shared" si="95"/>
        <v>9600000</v>
      </c>
      <c r="I711">
        <f t="shared" si="96"/>
        <v>194000</v>
      </c>
      <c r="J711">
        <f t="shared" si="97"/>
        <v>318500</v>
      </c>
      <c r="K711" s="2">
        <f t="shared" si="98"/>
        <v>2.0208333333333332E-2</v>
      </c>
      <c r="L711" t="str">
        <f t="shared" si="99"/>
        <v>Tier 1</v>
      </c>
    </row>
    <row r="712" spans="1:12" x14ac:dyDescent="0.35">
      <c r="A712" s="1" t="s">
        <v>2312</v>
      </c>
      <c r="B712">
        <v>734</v>
      </c>
      <c r="C712" t="s">
        <v>766</v>
      </c>
      <c r="D712" t="s">
        <v>1615</v>
      </c>
      <c r="E712" t="s">
        <v>22</v>
      </c>
      <c r="F712" t="s">
        <v>2313</v>
      </c>
      <c r="G712" t="s">
        <v>2314</v>
      </c>
      <c r="H712">
        <f t="shared" si="95"/>
        <v>11700000</v>
      </c>
      <c r="I712">
        <f t="shared" si="96"/>
        <v>186100</v>
      </c>
      <c r="J712">
        <f t="shared" si="97"/>
        <v>256899.99999999997</v>
      </c>
      <c r="K712" s="2">
        <f t="shared" si="98"/>
        <v>1.5905982905982906E-2</v>
      </c>
      <c r="L712" t="str">
        <f t="shared" si="99"/>
        <v>Tier 2</v>
      </c>
    </row>
    <row r="713" spans="1:12" x14ac:dyDescent="0.35">
      <c r="A713" s="1" t="s">
        <v>2315</v>
      </c>
      <c r="B713">
        <v>735</v>
      </c>
      <c r="C713" t="s">
        <v>200</v>
      </c>
      <c r="D713" t="s">
        <v>871</v>
      </c>
      <c r="E713" t="s">
        <v>22</v>
      </c>
      <c r="F713" t="s">
        <v>2316</v>
      </c>
      <c r="G713" t="s">
        <v>1915</v>
      </c>
      <c r="H713">
        <f t="shared" si="95"/>
        <v>14900000</v>
      </c>
      <c r="I713">
        <f t="shared" si="96"/>
        <v>132300</v>
      </c>
      <c r="J713">
        <f t="shared" si="97"/>
        <v>201400</v>
      </c>
      <c r="K713" s="2">
        <f t="shared" si="98"/>
        <v>8.8791946308724827E-3</v>
      </c>
      <c r="L713" t="str">
        <f t="shared" si="99"/>
        <v>Tier 2</v>
      </c>
    </row>
    <row r="714" spans="1:12" x14ac:dyDescent="0.35">
      <c r="A714" s="1" t="s">
        <v>2317</v>
      </c>
      <c r="B714">
        <v>737</v>
      </c>
      <c r="C714" t="s">
        <v>76</v>
      </c>
      <c r="D714" t="s">
        <v>835</v>
      </c>
      <c r="E714" t="s">
        <v>22</v>
      </c>
      <c r="F714" t="s">
        <v>2318</v>
      </c>
      <c r="G714" t="s">
        <v>2319</v>
      </c>
      <c r="H714">
        <f t="shared" si="95"/>
        <v>11100000</v>
      </c>
      <c r="I714">
        <f t="shared" si="96"/>
        <v>184600</v>
      </c>
      <c r="J714">
        <f t="shared" si="97"/>
        <v>271400</v>
      </c>
      <c r="K714" s="2">
        <f t="shared" si="98"/>
        <v>1.6630630630630631E-2</v>
      </c>
      <c r="L714" t="str">
        <f t="shared" si="99"/>
        <v>Tier 2</v>
      </c>
    </row>
    <row r="715" spans="1:12" x14ac:dyDescent="0.35">
      <c r="A715" s="1" t="s">
        <v>2320</v>
      </c>
      <c r="B715">
        <v>738</v>
      </c>
      <c r="C715" t="s">
        <v>76</v>
      </c>
      <c r="D715" t="s">
        <v>1101</v>
      </c>
      <c r="E715" t="s">
        <v>519</v>
      </c>
      <c r="F715" t="s">
        <v>1911</v>
      </c>
      <c r="G715" t="s">
        <v>2321</v>
      </c>
      <c r="H715">
        <f t="shared" si="95"/>
        <v>11600000</v>
      </c>
      <c r="I715">
        <f t="shared" si="96"/>
        <v>179700</v>
      </c>
      <c r="J715">
        <f t="shared" si="97"/>
        <v>262000</v>
      </c>
      <c r="K715" s="2">
        <f t="shared" si="98"/>
        <v>1.5491379310344828E-2</v>
      </c>
      <c r="L715" t="str">
        <f t="shared" si="99"/>
        <v>Tier 2</v>
      </c>
    </row>
    <row r="716" spans="1:12" x14ac:dyDescent="0.35">
      <c r="A716" s="1" t="s">
        <v>2322</v>
      </c>
      <c r="B716">
        <v>739</v>
      </c>
      <c r="C716" t="s">
        <v>50</v>
      </c>
      <c r="D716" t="s">
        <v>578</v>
      </c>
      <c r="E716" t="s">
        <v>10</v>
      </c>
      <c r="F716" t="s">
        <v>2323</v>
      </c>
      <c r="G716" t="s">
        <v>2324</v>
      </c>
      <c r="H716">
        <f t="shared" si="95"/>
        <v>10800000</v>
      </c>
      <c r="I716">
        <f t="shared" si="96"/>
        <v>188500</v>
      </c>
      <c r="J716">
        <f t="shared" si="97"/>
        <v>279200</v>
      </c>
      <c r="K716" s="2">
        <f t="shared" si="98"/>
        <v>1.7453703703703704E-2</v>
      </c>
      <c r="L716" t="str">
        <f t="shared" si="99"/>
        <v>Tier 2</v>
      </c>
    </row>
    <row r="717" spans="1:12" x14ac:dyDescent="0.35">
      <c r="A717" s="1" t="s">
        <v>2325</v>
      </c>
      <c r="B717">
        <v>740</v>
      </c>
      <c r="C717" t="s">
        <v>69</v>
      </c>
      <c r="D717" t="s">
        <v>1921</v>
      </c>
      <c r="E717" t="s">
        <v>10</v>
      </c>
      <c r="F717" t="s">
        <v>2326</v>
      </c>
      <c r="G717" t="s">
        <v>2327</v>
      </c>
      <c r="H717">
        <f t="shared" si="95"/>
        <v>10600000</v>
      </c>
      <c r="I717">
        <f t="shared" si="96"/>
        <v>208600</v>
      </c>
      <c r="J717">
        <f t="shared" si="97"/>
        <v>282500</v>
      </c>
      <c r="K717" s="2">
        <f t="shared" si="98"/>
        <v>1.9679245283018867E-2</v>
      </c>
      <c r="L717" t="str">
        <f t="shared" si="99"/>
        <v>Tier 2</v>
      </c>
    </row>
    <row r="718" spans="1:12" x14ac:dyDescent="0.35">
      <c r="A718" s="1" t="s">
        <v>2328</v>
      </c>
      <c r="B718">
        <v>741</v>
      </c>
      <c r="C718" t="s">
        <v>1280</v>
      </c>
      <c r="D718" t="s">
        <v>2329</v>
      </c>
      <c r="E718" t="s">
        <v>42</v>
      </c>
      <c r="F718" t="s">
        <v>2264</v>
      </c>
      <c r="G718" t="s">
        <v>2330</v>
      </c>
      <c r="H718">
        <f t="shared" si="95"/>
        <v>11900000</v>
      </c>
      <c r="I718">
        <f t="shared" si="96"/>
        <v>188400</v>
      </c>
      <c r="J718">
        <f t="shared" si="97"/>
        <v>252200</v>
      </c>
      <c r="K718" s="2">
        <f t="shared" si="98"/>
        <v>1.5831932773109243E-2</v>
      </c>
      <c r="L718" t="str">
        <f t="shared" si="99"/>
        <v>Tier 2</v>
      </c>
    </row>
    <row r="719" spans="1:12" x14ac:dyDescent="0.35">
      <c r="A719" s="1" t="s">
        <v>2331</v>
      </c>
      <c r="B719">
        <v>742</v>
      </c>
      <c r="C719" t="s">
        <v>157</v>
      </c>
      <c r="D719" t="s">
        <v>1125</v>
      </c>
      <c r="E719" t="s">
        <v>10</v>
      </c>
      <c r="F719" t="s">
        <v>2332</v>
      </c>
      <c r="G719" t="s">
        <v>2333</v>
      </c>
      <c r="H719">
        <f t="shared" si="95"/>
        <v>17200000</v>
      </c>
      <c r="I719">
        <f t="shared" si="96"/>
        <v>148100</v>
      </c>
      <c r="J719">
        <f t="shared" si="97"/>
        <v>172800</v>
      </c>
      <c r="K719" s="2">
        <f t="shared" si="98"/>
        <v>8.6104651162790691E-3</v>
      </c>
      <c r="L719" t="str">
        <f t="shared" si="99"/>
        <v>Tier 2</v>
      </c>
    </row>
    <row r="720" spans="1:12" x14ac:dyDescent="0.35">
      <c r="A720" s="1" t="s">
        <v>2334</v>
      </c>
      <c r="B720">
        <v>743</v>
      </c>
      <c r="C720" t="s">
        <v>979</v>
      </c>
      <c r="D720" t="s">
        <v>543</v>
      </c>
      <c r="E720" t="s">
        <v>195</v>
      </c>
      <c r="F720" t="s">
        <v>2335</v>
      </c>
      <c r="G720" t="s">
        <v>2336</v>
      </c>
      <c r="H720">
        <f t="shared" si="95"/>
        <v>13600000</v>
      </c>
      <c r="I720">
        <f t="shared" si="96"/>
        <v>170900</v>
      </c>
      <c r="J720">
        <f t="shared" si="97"/>
        <v>220900</v>
      </c>
      <c r="K720" s="2">
        <f t="shared" si="98"/>
        <v>1.2566176470588235E-2</v>
      </c>
      <c r="L720" t="str">
        <f t="shared" si="99"/>
        <v>Tier 2</v>
      </c>
    </row>
    <row r="721" spans="1:12" x14ac:dyDescent="0.35">
      <c r="A721" s="1" t="s">
        <v>2337</v>
      </c>
      <c r="B721">
        <v>744</v>
      </c>
      <c r="C721" t="s">
        <v>26</v>
      </c>
      <c r="D721" t="s">
        <v>802</v>
      </c>
      <c r="E721" t="s">
        <v>141</v>
      </c>
      <c r="F721" t="s">
        <v>2338</v>
      </c>
      <c r="G721" t="s">
        <v>2339</v>
      </c>
      <c r="H721">
        <f t="shared" si="95"/>
        <v>9400000</v>
      </c>
      <c r="I721">
        <f t="shared" si="96"/>
        <v>220700</v>
      </c>
      <c r="J721">
        <f t="shared" si="97"/>
        <v>324800</v>
      </c>
      <c r="K721" s="2">
        <f t="shared" si="98"/>
        <v>2.347872340425532E-2</v>
      </c>
      <c r="L721" t="str">
        <f t="shared" si="99"/>
        <v>Tier 1</v>
      </c>
    </row>
    <row r="722" spans="1:12" x14ac:dyDescent="0.35">
      <c r="A722" s="1" t="s">
        <v>2340</v>
      </c>
      <c r="B722">
        <v>745</v>
      </c>
      <c r="C722" t="s">
        <v>2341</v>
      </c>
      <c r="D722" t="s">
        <v>2342</v>
      </c>
      <c r="E722" t="s">
        <v>22</v>
      </c>
      <c r="F722" t="s">
        <v>2343</v>
      </c>
      <c r="G722" t="s">
        <v>1417</v>
      </c>
      <c r="H722">
        <f t="shared" si="95"/>
        <v>15600000</v>
      </c>
      <c r="I722">
        <f t="shared" si="96"/>
        <v>144600</v>
      </c>
      <c r="J722">
        <f t="shared" si="97"/>
        <v>189300</v>
      </c>
      <c r="K722" s="2">
        <f t="shared" si="98"/>
        <v>9.2692307692307692E-3</v>
      </c>
      <c r="L722" t="str">
        <f t="shared" si="99"/>
        <v>Tier 2</v>
      </c>
    </row>
    <row r="723" spans="1:12" x14ac:dyDescent="0.35">
      <c r="A723" s="1" t="s">
        <v>2344</v>
      </c>
      <c r="B723">
        <v>746</v>
      </c>
      <c r="C723" t="s">
        <v>26</v>
      </c>
      <c r="D723" t="s">
        <v>523</v>
      </c>
      <c r="E723" t="s">
        <v>42</v>
      </c>
      <c r="F723" t="s">
        <v>2345</v>
      </c>
      <c r="G723" t="s">
        <v>2346</v>
      </c>
      <c r="H723">
        <f t="shared" si="95"/>
        <v>16000000</v>
      </c>
      <c r="I723">
        <f t="shared" si="96"/>
        <v>137900</v>
      </c>
      <c r="J723">
        <f t="shared" si="97"/>
        <v>186400</v>
      </c>
      <c r="K723" s="2">
        <f t="shared" si="98"/>
        <v>8.6187499999999997E-3</v>
      </c>
      <c r="L723" t="str">
        <f t="shared" si="99"/>
        <v>Tier 2</v>
      </c>
    </row>
    <row r="724" spans="1:12" x14ac:dyDescent="0.35">
      <c r="A724" s="1" t="s">
        <v>2347</v>
      </c>
      <c r="B724">
        <v>747</v>
      </c>
      <c r="C724" t="s">
        <v>1193</v>
      </c>
      <c r="D724" t="s">
        <v>746</v>
      </c>
      <c r="E724" t="s">
        <v>141</v>
      </c>
      <c r="F724" t="s">
        <v>2348</v>
      </c>
      <c r="G724" t="s">
        <v>2349</v>
      </c>
      <c r="H724">
        <f t="shared" si="95"/>
        <v>9100000</v>
      </c>
      <c r="I724">
        <f t="shared" si="96"/>
        <v>281700</v>
      </c>
      <c r="J724">
        <f t="shared" si="97"/>
        <v>330800</v>
      </c>
      <c r="K724" s="2">
        <f t="shared" si="98"/>
        <v>3.0956043956043955E-2</v>
      </c>
      <c r="L724" t="str">
        <f t="shared" si="99"/>
        <v>Tier 1</v>
      </c>
    </row>
    <row r="725" spans="1:12" x14ac:dyDescent="0.35">
      <c r="A725" s="1" t="s">
        <v>2350</v>
      </c>
      <c r="B725">
        <v>748</v>
      </c>
      <c r="C725" t="s">
        <v>69</v>
      </c>
      <c r="D725" t="s">
        <v>671</v>
      </c>
      <c r="E725" t="s">
        <v>58</v>
      </c>
      <c r="F725" t="s">
        <v>2351</v>
      </c>
      <c r="G725" t="s">
        <v>2352</v>
      </c>
      <c r="H725">
        <f t="shared" si="95"/>
        <v>13500000</v>
      </c>
      <c r="I725">
        <f t="shared" si="96"/>
        <v>127700</v>
      </c>
      <c r="J725">
        <f t="shared" si="97"/>
        <v>220000</v>
      </c>
      <c r="K725" s="2">
        <f t="shared" si="98"/>
        <v>9.4592592592592593E-3</v>
      </c>
      <c r="L725" t="str">
        <f t="shared" si="99"/>
        <v>Tier 2</v>
      </c>
    </row>
    <row r="726" spans="1:12" x14ac:dyDescent="0.35">
      <c r="A726" s="1" t="s">
        <v>2353</v>
      </c>
      <c r="B726">
        <v>749</v>
      </c>
      <c r="C726" t="s">
        <v>76</v>
      </c>
      <c r="D726" t="s">
        <v>2354</v>
      </c>
      <c r="E726" t="s">
        <v>58</v>
      </c>
      <c r="F726" t="s">
        <v>2355</v>
      </c>
      <c r="G726" t="s">
        <v>1190</v>
      </c>
      <c r="H726">
        <f t="shared" si="95"/>
        <v>7700000</v>
      </c>
      <c r="I726">
        <f t="shared" si="96"/>
        <v>259500</v>
      </c>
      <c r="J726">
        <f t="shared" si="97"/>
        <v>389500</v>
      </c>
      <c r="K726" s="2">
        <f t="shared" si="98"/>
        <v>3.3701298701298704E-2</v>
      </c>
      <c r="L726" t="str">
        <f t="shared" si="99"/>
        <v>Tier 1</v>
      </c>
    </row>
    <row r="727" spans="1:12" x14ac:dyDescent="0.35">
      <c r="A727" s="1" t="s">
        <v>2356</v>
      </c>
      <c r="B727">
        <v>750</v>
      </c>
      <c r="D727" t="s">
        <v>639</v>
      </c>
      <c r="E727" t="s">
        <v>141</v>
      </c>
      <c r="F727" t="s">
        <v>2357</v>
      </c>
      <c r="G727" t="s">
        <v>2358</v>
      </c>
      <c r="H727">
        <f t="shared" si="95"/>
        <v>13000000</v>
      </c>
      <c r="I727">
        <f t="shared" si="96"/>
        <v>192500</v>
      </c>
      <c r="J727">
        <f t="shared" si="97"/>
        <v>226600</v>
      </c>
      <c r="K727" s="2">
        <f t="shared" si="98"/>
        <v>1.4807692307692308E-2</v>
      </c>
      <c r="L727" t="str">
        <f t="shared" si="99"/>
        <v>Tier 2</v>
      </c>
    </row>
    <row r="728" spans="1:12" x14ac:dyDescent="0.35">
      <c r="A728" s="1" t="s">
        <v>2359</v>
      </c>
      <c r="B728">
        <v>751</v>
      </c>
      <c r="C728" t="s">
        <v>976</v>
      </c>
      <c r="D728" t="s">
        <v>1610</v>
      </c>
      <c r="E728" t="s">
        <v>42</v>
      </c>
      <c r="F728" t="s">
        <v>2360</v>
      </c>
      <c r="G728" t="s">
        <v>2361</v>
      </c>
      <c r="H728">
        <f t="shared" si="95"/>
        <v>11400000</v>
      </c>
      <c r="I728">
        <f t="shared" si="96"/>
        <v>207300</v>
      </c>
      <c r="J728">
        <f t="shared" si="97"/>
        <v>257700</v>
      </c>
      <c r="K728" s="2">
        <f t="shared" si="98"/>
        <v>1.8184210526315789E-2</v>
      </c>
      <c r="L728" t="str">
        <f t="shared" si="99"/>
        <v>Tier 2</v>
      </c>
    </row>
    <row r="729" spans="1:12" x14ac:dyDescent="0.35">
      <c r="A729" s="1" t="s">
        <v>2362</v>
      </c>
      <c r="B729">
        <v>752</v>
      </c>
      <c r="C729" t="s">
        <v>8</v>
      </c>
      <c r="D729" t="s">
        <v>2342</v>
      </c>
      <c r="E729" t="s">
        <v>279</v>
      </c>
      <c r="F729" t="s">
        <v>2363</v>
      </c>
      <c r="G729" t="s">
        <v>2364</v>
      </c>
      <c r="H729">
        <f t="shared" si="95"/>
        <v>15600000</v>
      </c>
      <c r="I729">
        <f t="shared" si="96"/>
        <v>151100</v>
      </c>
      <c r="J729">
        <f t="shared" si="97"/>
        <v>188800</v>
      </c>
      <c r="K729" s="2">
        <f t="shared" si="98"/>
        <v>9.6858974358974351E-3</v>
      </c>
      <c r="L729" t="str">
        <f t="shared" si="99"/>
        <v>Tier 2</v>
      </c>
    </row>
    <row r="730" spans="1:12" x14ac:dyDescent="0.35">
      <c r="A730" s="1" t="s">
        <v>2365</v>
      </c>
      <c r="B730">
        <v>753</v>
      </c>
      <c r="C730" t="s">
        <v>76</v>
      </c>
      <c r="D730" t="s">
        <v>59</v>
      </c>
      <c r="E730" t="s">
        <v>22</v>
      </c>
      <c r="F730" t="s">
        <v>2114</v>
      </c>
      <c r="G730" t="s">
        <v>2366</v>
      </c>
      <c r="H730">
        <f t="shared" si="95"/>
        <v>6300000</v>
      </c>
      <c r="I730">
        <f t="shared" si="96"/>
        <v>192200</v>
      </c>
      <c r="J730">
        <f t="shared" si="97"/>
        <v>478500</v>
      </c>
      <c r="K730" s="2">
        <f t="shared" si="98"/>
        <v>3.0507936507936508E-2</v>
      </c>
      <c r="L730" t="str">
        <f t="shared" si="99"/>
        <v>Tier 1</v>
      </c>
    </row>
    <row r="731" spans="1:12" x14ac:dyDescent="0.35">
      <c r="A731" s="1" t="s">
        <v>2367</v>
      </c>
      <c r="B731">
        <v>754</v>
      </c>
      <c r="C731" t="s">
        <v>69</v>
      </c>
      <c r="D731" t="s">
        <v>1202</v>
      </c>
      <c r="E731" t="s">
        <v>10</v>
      </c>
      <c r="F731" t="s">
        <v>1589</v>
      </c>
      <c r="G731" t="s">
        <v>2368</v>
      </c>
      <c r="H731">
        <f t="shared" si="95"/>
        <v>12200000</v>
      </c>
      <c r="I731">
        <f t="shared" si="96"/>
        <v>180900</v>
      </c>
      <c r="J731">
        <f t="shared" si="97"/>
        <v>239400</v>
      </c>
      <c r="K731" s="2">
        <f t="shared" si="98"/>
        <v>1.4827868852459016E-2</v>
      </c>
      <c r="L731" t="str">
        <f t="shared" si="99"/>
        <v>Tier 2</v>
      </c>
    </row>
    <row r="732" spans="1:12" x14ac:dyDescent="0.35">
      <c r="A732" s="1" t="s">
        <v>2369</v>
      </c>
      <c r="B732">
        <v>755</v>
      </c>
      <c r="C732" t="s">
        <v>2370</v>
      </c>
      <c r="D732" t="s">
        <v>129</v>
      </c>
      <c r="E732" t="s">
        <v>58</v>
      </c>
      <c r="F732" t="s">
        <v>665</v>
      </c>
      <c r="G732" t="s">
        <v>2371</v>
      </c>
      <c r="H732">
        <f t="shared" si="95"/>
        <v>5200000</v>
      </c>
      <c r="I732">
        <f t="shared" si="96"/>
        <v>502200</v>
      </c>
      <c r="J732">
        <f t="shared" si="97"/>
        <v>570400</v>
      </c>
      <c r="K732" s="2">
        <f t="shared" si="98"/>
        <v>9.6576923076923074E-2</v>
      </c>
      <c r="L732" t="str">
        <f t="shared" si="99"/>
        <v>Tier 1</v>
      </c>
    </row>
    <row r="733" spans="1:12" x14ac:dyDescent="0.35">
      <c r="A733" s="1" t="s">
        <v>2372</v>
      </c>
      <c r="B733">
        <v>756</v>
      </c>
      <c r="C733" t="s">
        <v>157</v>
      </c>
      <c r="D733" t="s">
        <v>1537</v>
      </c>
      <c r="E733" t="s">
        <v>256</v>
      </c>
      <c r="F733" t="s">
        <v>2373</v>
      </c>
      <c r="G733" t="s">
        <v>2374</v>
      </c>
      <c r="H733">
        <f t="shared" si="95"/>
        <v>22700000</v>
      </c>
      <c r="I733">
        <f t="shared" si="96"/>
        <v>105000</v>
      </c>
      <c r="J733">
        <f t="shared" si="97"/>
        <v>129100</v>
      </c>
      <c r="K733" s="2">
        <f t="shared" si="98"/>
        <v>4.6255506607929516E-3</v>
      </c>
      <c r="L733" t="str">
        <f t="shared" si="99"/>
        <v>Tier 2</v>
      </c>
    </row>
    <row r="734" spans="1:12" x14ac:dyDescent="0.35">
      <c r="A734" s="1" t="s">
        <v>2375</v>
      </c>
      <c r="B734">
        <v>757</v>
      </c>
      <c r="C734" t="s">
        <v>153</v>
      </c>
      <c r="D734" t="s">
        <v>767</v>
      </c>
      <c r="E734" t="s">
        <v>42</v>
      </c>
      <c r="F734" t="s">
        <v>1918</v>
      </c>
      <c r="G734" t="s">
        <v>2376</v>
      </c>
      <c r="H734">
        <f t="shared" si="95"/>
        <v>10000000</v>
      </c>
      <c r="I734">
        <f t="shared" si="96"/>
        <v>238500</v>
      </c>
      <c r="J734">
        <f t="shared" si="97"/>
        <v>290300</v>
      </c>
      <c r="K734" s="2">
        <f t="shared" si="98"/>
        <v>2.385E-2</v>
      </c>
      <c r="L734" t="str">
        <f t="shared" si="99"/>
        <v>Tier 2</v>
      </c>
    </row>
    <row r="735" spans="1:12" x14ac:dyDescent="0.35">
      <c r="A735" s="1" t="s">
        <v>2377</v>
      </c>
      <c r="B735">
        <v>758</v>
      </c>
      <c r="C735" t="s">
        <v>364</v>
      </c>
      <c r="D735" t="s">
        <v>1297</v>
      </c>
      <c r="E735" t="s">
        <v>22</v>
      </c>
      <c r="F735" t="s">
        <v>2181</v>
      </c>
      <c r="G735" t="s">
        <v>2378</v>
      </c>
      <c r="H735">
        <f t="shared" si="95"/>
        <v>13900000</v>
      </c>
      <c r="I735">
        <f t="shared" si="96"/>
        <v>139100</v>
      </c>
      <c r="J735">
        <f t="shared" si="97"/>
        <v>208100</v>
      </c>
      <c r="K735" s="2">
        <f t="shared" si="98"/>
        <v>1.0007194244604316E-2</v>
      </c>
      <c r="L735" t="str">
        <f t="shared" si="99"/>
        <v>Tier 2</v>
      </c>
    </row>
    <row r="736" spans="1:12" x14ac:dyDescent="0.35">
      <c r="A736" s="1" t="s">
        <v>2379</v>
      </c>
      <c r="B736">
        <v>759</v>
      </c>
      <c r="C736" t="s">
        <v>1193</v>
      </c>
      <c r="D736" t="s">
        <v>1167</v>
      </c>
      <c r="E736" t="s">
        <v>141</v>
      </c>
      <c r="F736" t="s">
        <v>2380</v>
      </c>
      <c r="G736" t="s">
        <v>2381</v>
      </c>
      <c r="H736">
        <f t="shared" si="95"/>
        <v>13400000</v>
      </c>
      <c r="I736">
        <f t="shared" si="96"/>
        <v>154500</v>
      </c>
      <c r="J736">
        <f t="shared" si="97"/>
        <v>215700</v>
      </c>
      <c r="K736" s="2">
        <f t="shared" si="98"/>
        <v>1.1529850746268657E-2</v>
      </c>
      <c r="L736" t="str">
        <f t="shared" si="99"/>
        <v>Tier 2</v>
      </c>
    </row>
    <row r="737" spans="1:12" hidden="1" x14ac:dyDescent="0.35">
      <c r="A737" s="1" t="s">
        <v>2382</v>
      </c>
      <c r="B737">
        <v>760</v>
      </c>
      <c r="D737" t="s">
        <v>353</v>
      </c>
      <c r="F737">
        <v>0</v>
      </c>
      <c r="G737" t="s">
        <v>2383</v>
      </c>
      <c r="K737"/>
    </row>
    <row r="738" spans="1:12" x14ac:dyDescent="0.35">
      <c r="A738" s="1" t="s">
        <v>2384</v>
      </c>
      <c r="B738">
        <v>761</v>
      </c>
      <c r="C738" t="s">
        <v>1280</v>
      </c>
      <c r="D738" t="s">
        <v>148</v>
      </c>
      <c r="E738" t="s">
        <v>22</v>
      </c>
      <c r="F738" t="s">
        <v>1675</v>
      </c>
      <c r="G738" t="s">
        <v>1506</v>
      </c>
      <c r="H738">
        <f t="shared" ref="H738:H752" si="100">IF(RIGHT(D738,1)="M", VALUE(SUBSTITUTE(D738,"M",""))*1000000, VALUE(SUBSTITUTE(D738,"K",""))*1000)</f>
        <v>5400000</v>
      </c>
      <c r="I738">
        <f t="shared" ref="I738:I752" si="101">IF(RIGHT(F738,1)="M", VALUE(SUBSTITUTE(F738,"M",""))*1000000, VALUE(SUBSTITUTE(F738,"K",""))*1000)</f>
        <v>391800</v>
      </c>
      <c r="J738">
        <f t="shared" ref="J738:J752" si="102">IF(RIGHT(G738,1)="M", VALUE(SUBSTITUTE(G738,"M",""))*1000000, VALUE(SUBSTITUTE(G738,"K",""))*1000)</f>
        <v>550700</v>
      </c>
      <c r="K738" s="2">
        <f t="shared" ref="K738:K752" si="103">I738/H738</f>
        <v>7.2555555555555554E-2</v>
      </c>
      <c r="L738" t="str">
        <f t="shared" ref="L738:L752" si="104">IF(H738&lt;10000000,"Tier 1",
 IF(H738&lt;50000000,"Tier 2",
 IF(H738&lt;100000000,"Tier 3",
 "Tier 4")))</f>
        <v>Tier 1</v>
      </c>
    </row>
    <row r="739" spans="1:12" x14ac:dyDescent="0.35">
      <c r="A739" s="1" t="s">
        <v>2385</v>
      </c>
      <c r="B739">
        <v>762</v>
      </c>
      <c r="C739" t="s">
        <v>2386</v>
      </c>
      <c r="D739" t="s">
        <v>1921</v>
      </c>
      <c r="E739" t="s">
        <v>42</v>
      </c>
      <c r="F739" t="s">
        <v>2387</v>
      </c>
      <c r="G739" t="s">
        <v>1254</v>
      </c>
      <c r="H739">
        <f t="shared" si="100"/>
        <v>10600000</v>
      </c>
      <c r="I739">
        <f t="shared" si="101"/>
        <v>204300</v>
      </c>
      <c r="J739">
        <f t="shared" si="102"/>
        <v>275500</v>
      </c>
      <c r="K739" s="2">
        <f t="shared" si="103"/>
        <v>1.9273584905660376E-2</v>
      </c>
      <c r="L739" t="str">
        <f t="shared" si="104"/>
        <v>Tier 2</v>
      </c>
    </row>
    <row r="740" spans="1:12" x14ac:dyDescent="0.35">
      <c r="A740" s="1" t="s">
        <v>2388</v>
      </c>
      <c r="B740">
        <v>763</v>
      </c>
      <c r="C740" t="s">
        <v>2389</v>
      </c>
      <c r="D740" t="s">
        <v>63</v>
      </c>
      <c r="E740" t="s">
        <v>22</v>
      </c>
      <c r="F740" t="s">
        <v>2390</v>
      </c>
      <c r="G740" t="s">
        <v>2391</v>
      </c>
      <c r="H740">
        <f t="shared" si="100"/>
        <v>7000000</v>
      </c>
      <c r="I740">
        <f t="shared" si="101"/>
        <v>328000</v>
      </c>
      <c r="J740">
        <f t="shared" si="102"/>
        <v>419600</v>
      </c>
      <c r="K740" s="2">
        <f t="shared" si="103"/>
        <v>4.6857142857142854E-2</v>
      </c>
      <c r="L740" t="str">
        <f t="shared" si="104"/>
        <v>Tier 1</v>
      </c>
    </row>
    <row r="741" spans="1:12" x14ac:dyDescent="0.35">
      <c r="A741" s="1" t="s">
        <v>2392</v>
      </c>
      <c r="B741">
        <v>764</v>
      </c>
      <c r="C741" t="s">
        <v>76</v>
      </c>
      <c r="D741" t="s">
        <v>33</v>
      </c>
      <c r="E741" t="s">
        <v>22</v>
      </c>
      <c r="F741" t="s">
        <v>2393</v>
      </c>
      <c r="G741" t="s">
        <v>703</v>
      </c>
      <c r="H741">
        <f t="shared" si="100"/>
        <v>4300000</v>
      </c>
      <c r="I741">
        <f t="shared" si="101"/>
        <v>232100</v>
      </c>
      <c r="J741">
        <f t="shared" si="102"/>
        <v>687700</v>
      </c>
      <c r="K741" s="2">
        <f t="shared" si="103"/>
        <v>5.3976744186046512E-2</v>
      </c>
      <c r="L741" t="str">
        <f t="shared" si="104"/>
        <v>Tier 1</v>
      </c>
    </row>
    <row r="742" spans="1:12" x14ac:dyDescent="0.35">
      <c r="A742" s="1" t="s">
        <v>2394</v>
      </c>
      <c r="B742">
        <v>765</v>
      </c>
      <c r="C742" t="s">
        <v>1097</v>
      </c>
      <c r="D742" t="s">
        <v>2395</v>
      </c>
      <c r="E742" t="s">
        <v>16</v>
      </c>
      <c r="F742" t="s">
        <v>2396</v>
      </c>
      <c r="G742" t="s">
        <v>2397</v>
      </c>
      <c r="H742">
        <f t="shared" si="100"/>
        <v>29700000</v>
      </c>
      <c r="I742">
        <f t="shared" si="101"/>
        <v>70600</v>
      </c>
      <c r="J742">
        <f t="shared" si="102"/>
        <v>97600</v>
      </c>
      <c r="K742" s="2">
        <f t="shared" si="103"/>
        <v>2.3771043771043769E-3</v>
      </c>
      <c r="L742" t="str">
        <f t="shared" si="104"/>
        <v>Tier 2</v>
      </c>
    </row>
    <row r="743" spans="1:12" x14ac:dyDescent="0.35">
      <c r="A743" s="1" t="s">
        <v>2398</v>
      </c>
      <c r="B743">
        <v>766</v>
      </c>
      <c r="C743" t="s">
        <v>76</v>
      </c>
      <c r="D743" t="s">
        <v>1505</v>
      </c>
      <c r="E743" t="s">
        <v>584</v>
      </c>
      <c r="F743" t="s">
        <v>1718</v>
      </c>
      <c r="G743" t="s">
        <v>2399</v>
      </c>
      <c r="H743">
        <f t="shared" si="100"/>
        <v>9500000</v>
      </c>
      <c r="I743">
        <f t="shared" si="101"/>
        <v>213200</v>
      </c>
      <c r="J743">
        <f t="shared" si="102"/>
        <v>313000</v>
      </c>
      <c r="K743" s="2">
        <f t="shared" si="103"/>
        <v>2.2442105263157895E-2</v>
      </c>
      <c r="L743" t="str">
        <f t="shared" si="104"/>
        <v>Tier 1</v>
      </c>
    </row>
    <row r="744" spans="1:12" x14ac:dyDescent="0.35">
      <c r="A744" s="1" t="s">
        <v>2400</v>
      </c>
      <c r="B744">
        <v>767</v>
      </c>
      <c r="C744" t="s">
        <v>180</v>
      </c>
      <c r="D744" t="s">
        <v>2354</v>
      </c>
      <c r="E744" t="s">
        <v>211</v>
      </c>
      <c r="F744" t="s">
        <v>2401</v>
      </c>
      <c r="G744" t="s">
        <v>2402</v>
      </c>
      <c r="H744">
        <f t="shared" si="100"/>
        <v>7700000</v>
      </c>
      <c r="I744">
        <f t="shared" si="101"/>
        <v>275000</v>
      </c>
      <c r="J744">
        <f t="shared" si="102"/>
        <v>378600</v>
      </c>
      <c r="K744" s="2">
        <f t="shared" si="103"/>
        <v>3.5714285714285712E-2</v>
      </c>
      <c r="L744" t="str">
        <f t="shared" si="104"/>
        <v>Tier 1</v>
      </c>
    </row>
    <row r="745" spans="1:12" x14ac:dyDescent="0.35">
      <c r="A745" s="1" t="s">
        <v>2403</v>
      </c>
      <c r="B745">
        <v>768</v>
      </c>
      <c r="C745" t="s">
        <v>8</v>
      </c>
      <c r="D745" t="s">
        <v>2404</v>
      </c>
      <c r="E745" t="s">
        <v>279</v>
      </c>
      <c r="F745" t="s">
        <v>2405</v>
      </c>
      <c r="G745" t="s">
        <v>2406</v>
      </c>
      <c r="H745">
        <f t="shared" si="100"/>
        <v>39700000</v>
      </c>
      <c r="I745">
        <f t="shared" si="101"/>
        <v>49400</v>
      </c>
      <c r="J745">
        <f t="shared" si="102"/>
        <v>72200</v>
      </c>
      <c r="K745" s="2">
        <f t="shared" si="103"/>
        <v>1.2443324937027708E-3</v>
      </c>
      <c r="L745" t="str">
        <f t="shared" si="104"/>
        <v>Tier 2</v>
      </c>
    </row>
    <row r="746" spans="1:12" x14ac:dyDescent="0.35">
      <c r="A746" s="1" t="s">
        <v>2407</v>
      </c>
      <c r="B746">
        <v>769</v>
      </c>
      <c r="C746" t="s">
        <v>2408</v>
      </c>
      <c r="D746" t="s">
        <v>843</v>
      </c>
      <c r="E746" t="s">
        <v>22</v>
      </c>
      <c r="F746" t="s">
        <v>1348</v>
      </c>
      <c r="G746" t="s">
        <v>2030</v>
      </c>
      <c r="H746">
        <f t="shared" si="100"/>
        <v>15000000</v>
      </c>
      <c r="I746">
        <f t="shared" si="101"/>
        <v>157900</v>
      </c>
      <c r="J746">
        <f t="shared" si="102"/>
        <v>191700</v>
      </c>
      <c r="K746" s="2">
        <f t="shared" si="103"/>
        <v>1.0526666666666667E-2</v>
      </c>
      <c r="L746" t="str">
        <f t="shared" si="104"/>
        <v>Tier 2</v>
      </c>
    </row>
    <row r="747" spans="1:12" x14ac:dyDescent="0.35">
      <c r="A747" s="1" t="s">
        <v>2409</v>
      </c>
      <c r="B747">
        <v>770</v>
      </c>
      <c r="C747" t="s">
        <v>1530</v>
      </c>
      <c r="D747" t="s">
        <v>897</v>
      </c>
      <c r="E747" t="s">
        <v>22</v>
      </c>
      <c r="F747" t="s">
        <v>2410</v>
      </c>
      <c r="G747" t="s">
        <v>1238</v>
      </c>
      <c r="H747">
        <f t="shared" si="100"/>
        <v>27300000</v>
      </c>
      <c r="I747">
        <f t="shared" si="101"/>
        <v>68800</v>
      </c>
      <c r="J747">
        <f t="shared" si="102"/>
        <v>105100</v>
      </c>
      <c r="K747" s="2">
        <f t="shared" si="103"/>
        <v>2.5201465201465201E-3</v>
      </c>
      <c r="L747" t="str">
        <f t="shared" si="104"/>
        <v>Tier 2</v>
      </c>
    </row>
    <row r="748" spans="1:12" x14ac:dyDescent="0.35">
      <c r="A748" s="1" t="s">
        <v>2411</v>
      </c>
      <c r="B748">
        <v>771</v>
      </c>
      <c r="C748" t="s">
        <v>920</v>
      </c>
      <c r="D748" t="s">
        <v>1288</v>
      </c>
      <c r="E748" t="s">
        <v>42</v>
      </c>
      <c r="F748" t="s">
        <v>2412</v>
      </c>
      <c r="G748" t="s">
        <v>1180</v>
      </c>
      <c r="H748">
        <f t="shared" si="100"/>
        <v>18100000</v>
      </c>
      <c r="I748">
        <f t="shared" si="101"/>
        <v>84200</v>
      </c>
      <c r="J748">
        <f t="shared" si="102"/>
        <v>159800</v>
      </c>
      <c r="K748" s="2">
        <f t="shared" si="103"/>
        <v>4.6519337016574583E-3</v>
      </c>
      <c r="L748" t="str">
        <f t="shared" si="104"/>
        <v>Tier 2</v>
      </c>
    </row>
    <row r="749" spans="1:12" x14ac:dyDescent="0.35">
      <c r="A749" s="1" t="s">
        <v>2413</v>
      </c>
      <c r="B749">
        <v>772</v>
      </c>
      <c r="C749" t="s">
        <v>26</v>
      </c>
      <c r="D749" t="s">
        <v>1311</v>
      </c>
      <c r="E749" t="s">
        <v>16</v>
      </c>
      <c r="F749" t="s">
        <v>2414</v>
      </c>
      <c r="G749" t="s">
        <v>2415</v>
      </c>
      <c r="H749">
        <f t="shared" si="100"/>
        <v>5100000</v>
      </c>
      <c r="I749">
        <f t="shared" si="101"/>
        <v>249900</v>
      </c>
      <c r="J749">
        <f t="shared" si="102"/>
        <v>570300</v>
      </c>
      <c r="K749" s="2">
        <f t="shared" si="103"/>
        <v>4.9000000000000002E-2</v>
      </c>
      <c r="L749" t="str">
        <f t="shared" si="104"/>
        <v>Tier 1</v>
      </c>
    </row>
    <row r="750" spans="1:12" x14ac:dyDescent="0.35">
      <c r="A750" s="1" t="s">
        <v>2416</v>
      </c>
      <c r="B750">
        <v>773</v>
      </c>
      <c r="C750" t="s">
        <v>123</v>
      </c>
      <c r="D750" t="s">
        <v>155</v>
      </c>
      <c r="E750" t="s">
        <v>2417</v>
      </c>
      <c r="F750" t="s">
        <v>2418</v>
      </c>
      <c r="G750" t="s">
        <v>48</v>
      </c>
      <c r="H750">
        <f t="shared" si="100"/>
        <v>1600000</v>
      </c>
      <c r="I750">
        <f t="shared" si="101"/>
        <v>919900</v>
      </c>
      <c r="J750">
        <f t="shared" si="102"/>
        <v>1900000</v>
      </c>
      <c r="K750" s="2">
        <f t="shared" si="103"/>
        <v>0.57493749999999999</v>
      </c>
      <c r="L750" t="str">
        <f t="shared" si="104"/>
        <v>Tier 1</v>
      </c>
    </row>
    <row r="751" spans="1:12" x14ac:dyDescent="0.35">
      <c r="A751" s="1" t="s">
        <v>2419</v>
      </c>
      <c r="B751">
        <v>774</v>
      </c>
      <c r="C751" t="s">
        <v>2420</v>
      </c>
      <c r="D751" t="s">
        <v>792</v>
      </c>
      <c r="E751" t="s">
        <v>252</v>
      </c>
      <c r="F751" t="s">
        <v>2421</v>
      </c>
      <c r="G751" t="s">
        <v>2422</v>
      </c>
      <c r="H751">
        <f t="shared" si="100"/>
        <v>17400000</v>
      </c>
      <c r="I751">
        <f t="shared" si="101"/>
        <v>105700</v>
      </c>
      <c r="J751">
        <f t="shared" si="102"/>
        <v>164100</v>
      </c>
      <c r="K751" s="2">
        <f t="shared" si="103"/>
        <v>6.0747126436781606E-3</v>
      </c>
      <c r="L751" t="str">
        <f t="shared" si="104"/>
        <v>Tier 2</v>
      </c>
    </row>
    <row r="752" spans="1:12" x14ac:dyDescent="0.35">
      <c r="A752" s="1" t="s">
        <v>2423</v>
      </c>
      <c r="B752">
        <v>775</v>
      </c>
      <c r="C752" t="s">
        <v>8</v>
      </c>
      <c r="D752" t="s">
        <v>812</v>
      </c>
      <c r="E752" t="s">
        <v>279</v>
      </c>
      <c r="F752" t="s">
        <v>2424</v>
      </c>
      <c r="G752" t="s">
        <v>2208</v>
      </c>
      <c r="H752">
        <f t="shared" si="100"/>
        <v>8700000</v>
      </c>
      <c r="I752">
        <f t="shared" si="101"/>
        <v>217800</v>
      </c>
      <c r="J752">
        <f t="shared" si="102"/>
        <v>330300</v>
      </c>
      <c r="K752" s="2">
        <f t="shared" si="103"/>
        <v>2.5034482758620691E-2</v>
      </c>
      <c r="L752" t="str">
        <f t="shared" si="104"/>
        <v>Tier 1</v>
      </c>
    </row>
    <row r="753" spans="1:12" hidden="1" x14ac:dyDescent="0.35">
      <c r="A753" s="1" t="s">
        <v>2425</v>
      </c>
      <c r="B753">
        <v>776</v>
      </c>
      <c r="C753" t="s">
        <v>214</v>
      </c>
      <c r="D753" t="s">
        <v>97</v>
      </c>
      <c r="E753" t="s">
        <v>22</v>
      </c>
      <c r="F753">
        <v>0</v>
      </c>
      <c r="G753" t="s">
        <v>2426</v>
      </c>
      <c r="K753"/>
    </row>
    <row r="754" spans="1:12" x14ac:dyDescent="0.35">
      <c r="A754" s="1" t="s">
        <v>2427</v>
      </c>
      <c r="B754">
        <v>777</v>
      </c>
      <c r="C754" t="s">
        <v>920</v>
      </c>
      <c r="D754" t="s">
        <v>439</v>
      </c>
      <c r="E754" t="s">
        <v>58</v>
      </c>
      <c r="F754" t="s">
        <v>1453</v>
      </c>
      <c r="G754" t="s">
        <v>1773</v>
      </c>
      <c r="H754">
        <f t="shared" ref="H754:H762" si="105">IF(RIGHT(D754,1)="M", VALUE(SUBSTITUTE(D754,"M",""))*1000000, VALUE(SUBSTITUTE(D754,"K",""))*1000)</f>
        <v>20900000</v>
      </c>
      <c r="I754">
        <f t="shared" ref="I754:I762" si="106">IF(RIGHT(F754,1)="M", VALUE(SUBSTITUTE(F754,"M",""))*1000000, VALUE(SUBSTITUTE(F754,"K",""))*1000)</f>
        <v>80800</v>
      </c>
      <c r="J754">
        <f t="shared" ref="J754:J762" si="107">IF(RIGHT(G754,1)="M", VALUE(SUBSTITUTE(G754,"M",""))*1000000, VALUE(SUBSTITUTE(G754,"K",""))*1000)</f>
        <v>137600</v>
      </c>
      <c r="K754" s="2">
        <f t="shared" ref="K754:K762" si="108">I754/H754</f>
        <v>3.8660287081339713E-3</v>
      </c>
      <c r="L754" t="str">
        <f t="shared" ref="L754:L762" si="109">IF(H754&lt;10000000,"Tier 1",
 IF(H754&lt;50000000,"Tier 2",
 IF(H754&lt;100000000,"Tier 3",
 "Tier 4")))</f>
        <v>Tier 2</v>
      </c>
    </row>
    <row r="755" spans="1:12" x14ac:dyDescent="0.35">
      <c r="A755" s="1" t="s">
        <v>2428</v>
      </c>
      <c r="B755">
        <v>778</v>
      </c>
      <c r="C755" t="s">
        <v>26</v>
      </c>
      <c r="D755" t="s">
        <v>1714</v>
      </c>
      <c r="E755" t="s">
        <v>58</v>
      </c>
      <c r="F755" t="s">
        <v>2429</v>
      </c>
      <c r="G755" t="s">
        <v>2430</v>
      </c>
      <c r="H755">
        <f t="shared" si="105"/>
        <v>9200000</v>
      </c>
      <c r="I755">
        <f t="shared" si="106"/>
        <v>259100.00000000003</v>
      </c>
      <c r="J755">
        <f t="shared" si="107"/>
        <v>310400</v>
      </c>
      <c r="K755" s="2">
        <f t="shared" si="108"/>
        <v>2.8163043478260874E-2</v>
      </c>
      <c r="L755" t="str">
        <f t="shared" si="109"/>
        <v>Tier 1</v>
      </c>
    </row>
    <row r="756" spans="1:12" x14ac:dyDescent="0.35">
      <c r="A756" s="1" t="s">
        <v>2431</v>
      </c>
      <c r="B756">
        <v>779</v>
      </c>
      <c r="C756" t="s">
        <v>8</v>
      </c>
      <c r="D756" t="s">
        <v>929</v>
      </c>
      <c r="E756" t="s">
        <v>22</v>
      </c>
      <c r="F756" t="s">
        <v>2432</v>
      </c>
      <c r="G756" t="s">
        <v>1249</v>
      </c>
      <c r="H756">
        <f t="shared" si="105"/>
        <v>12500000</v>
      </c>
      <c r="I756">
        <f t="shared" si="106"/>
        <v>123000</v>
      </c>
      <c r="J756">
        <f t="shared" si="107"/>
        <v>227900</v>
      </c>
      <c r="K756" s="2">
        <f t="shared" si="108"/>
        <v>9.8399999999999998E-3</v>
      </c>
      <c r="L756" t="str">
        <f t="shared" si="109"/>
        <v>Tier 2</v>
      </c>
    </row>
    <row r="757" spans="1:12" x14ac:dyDescent="0.35">
      <c r="A757" s="1" t="s">
        <v>2433</v>
      </c>
      <c r="B757">
        <v>780</v>
      </c>
      <c r="C757" t="s">
        <v>200</v>
      </c>
      <c r="D757" t="s">
        <v>355</v>
      </c>
      <c r="E757" t="s">
        <v>22</v>
      </c>
      <c r="F757" t="s">
        <v>2432</v>
      </c>
      <c r="G757" t="s">
        <v>2027</v>
      </c>
      <c r="H757">
        <f t="shared" si="105"/>
        <v>17000000</v>
      </c>
      <c r="I757">
        <f t="shared" si="106"/>
        <v>123000</v>
      </c>
      <c r="J757">
        <f t="shared" si="107"/>
        <v>166800</v>
      </c>
      <c r="K757" s="2">
        <f t="shared" si="108"/>
        <v>7.2352941176470585E-3</v>
      </c>
      <c r="L757" t="str">
        <f t="shared" si="109"/>
        <v>Tier 2</v>
      </c>
    </row>
    <row r="758" spans="1:12" x14ac:dyDescent="0.35">
      <c r="A758" s="1" t="s">
        <v>2434</v>
      </c>
      <c r="B758">
        <v>781</v>
      </c>
      <c r="C758" t="s">
        <v>2435</v>
      </c>
      <c r="D758" t="s">
        <v>671</v>
      </c>
      <c r="E758" t="s">
        <v>42</v>
      </c>
      <c r="F758" t="s">
        <v>2436</v>
      </c>
      <c r="G758" t="s">
        <v>2281</v>
      </c>
      <c r="H758">
        <f t="shared" si="105"/>
        <v>13500000</v>
      </c>
      <c r="I758">
        <f t="shared" si="106"/>
        <v>145300</v>
      </c>
      <c r="J758">
        <f t="shared" si="107"/>
        <v>211900</v>
      </c>
      <c r="K758" s="2">
        <f t="shared" si="108"/>
        <v>1.0762962962962964E-2</v>
      </c>
      <c r="L758" t="str">
        <f t="shared" si="109"/>
        <v>Tier 2</v>
      </c>
    </row>
    <row r="759" spans="1:12" x14ac:dyDescent="0.35">
      <c r="A759" s="1" t="s">
        <v>2437</v>
      </c>
      <c r="B759">
        <v>782</v>
      </c>
      <c r="C759" t="s">
        <v>8</v>
      </c>
      <c r="D759" t="s">
        <v>2108</v>
      </c>
      <c r="E759" t="s">
        <v>1102</v>
      </c>
      <c r="F759" t="s">
        <v>2438</v>
      </c>
      <c r="G759" t="s">
        <v>2439</v>
      </c>
      <c r="H759">
        <f t="shared" si="105"/>
        <v>5000000</v>
      </c>
      <c r="I759">
        <f t="shared" si="106"/>
        <v>326200</v>
      </c>
      <c r="J759">
        <f t="shared" si="107"/>
        <v>571500</v>
      </c>
      <c r="K759" s="2">
        <f t="shared" si="108"/>
        <v>6.5240000000000006E-2</v>
      </c>
      <c r="L759" t="str">
        <f t="shared" si="109"/>
        <v>Tier 1</v>
      </c>
    </row>
    <row r="760" spans="1:12" x14ac:dyDescent="0.35">
      <c r="A760" s="1" t="s">
        <v>2440</v>
      </c>
      <c r="B760">
        <v>783</v>
      </c>
      <c r="C760" t="s">
        <v>26</v>
      </c>
      <c r="D760" t="s">
        <v>60</v>
      </c>
      <c r="E760" t="s">
        <v>22</v>
      </c>
      <c r="F760" t="s">
        <v>2441</v>
      </c>
      <c r="G760" t="s">
        <v>2442</v>
      </c>
      <c r="H760">
        <f t="shared" si="105"/>
        <v>7300000</v>
      </c>
      <c r="I760">
        <f t="shared" si="106"/>
        <v>304600</v>
      </c>
      <c r="J760">
        <f t="shared" si="107"/>
        <v>390700</v>
      </c>
      <c r="K760" s="2">
        <f t="shared" si="108"/>
        <v>4.1726027397260272E-2</v>
      </c>
      <c r="L760" t="str">
        <f t="shared" si="109"/>
        <v>Tier 1</v>
      </c>
    </row>
    <row r="761" spans="1:12" x14ac:dyDescent="0.35">
      <c r="A761" s="1" t="s">
        <v>2443</v>
      </c>
      <c r="B761">
        <v>784</v>
      </c>
      <c r="C761" t="s">
        <v>8</v>
      </c>
      <c r="D761" t="s">
        <v>875</v>
      </c>
      <c r="E761" t="s">
        <v>42</v>
      </c>
      <c r="F761" t="s">
        <v>2444</v>
      </c>
      <c r="G761" t="s">
        <v>1744</v>
      </c>
      <c r="H761">
        <f t="shared" si="105"/>
        <v>18700000</v>
      </c>
      <c r="I761">
        <f t="shared" si="106"/>
        <v>91000</v>
      </c>
      <c r="J761">
        <f t="shared" si="107"/>
        <v>148400</v>
      </c>
      <c r="K761" s="2">
        <f t="shared" si="108"/>
        <v>4.8663101604278078E-3</v>
      </c>
      <c r="L761" t="str">
        <f t="shared" si="109"/>
        <v>Tier 2</v>
      </c>
    </row>
    <row r="762" spans="1:12" x14ac:dyDescent="0.35">
      <c r="A762" s="1" t="s">
        <v>2445</v>
      </c>
      <c r="B762">
        <v>785</v>
      </c>
      <c r="C762" t="s">
        <v>8</v>
      </c>
      <c r="D762" t="s">
        <v>2446</v>
      </c>
      <c r="E762" t="s">
        <v>42</v>
      </c>
      <c r="F762" t="s">
        <v>2447</v>
      </c>
      <c r="G762" t="s">
        <v>2448</v>
      </c>
      <c r="H762">
        <f t="shared" si="105"/>
        <v>31500000</v>
      </c>
      <c r="I762">
        <f t="shared" si="106"/>
        <v>64800</v>
      </c>
      <c r="J762">
        <f t="shared" si="107"/>
        <v>88100</v>
      </c>
      <c r="K762" s="2">
        <f t="shared" si="108"/>
        <v>2.0571428571428572E-3</v>
      </c>
      <c r="L762" t="str">
        <f t="shared" si="109"/>
        <v>Tier 2</v>
      </c>
    </row>
    <row r="763" spans="1:12" hidden="1" x14ac:dyDescent="0.35">
      <c r="A763" s="1" t="s">
        <v>2449</v>
      </c>
      <c r="B763">
        <v>786</v>
      </c>
      <c r="C763" t="s">
        <v>834</v>
      </c>
      <c r="D763" t="s">
        <v>115</v>
      </c>
      <c r="E763" t="s">
        <v>2104</v>
      </c>
      <c r="F763">
        <v>0</v>
      </c>
      <c r="G763" t="s">
        <v>2450</v>
      </c>
      <c r="K763"/>
    </row>
    <row r="764" spans="1:12" x14ac:dyDescent="0.35">
      <c r="A764" s="1" t="s">
        <v>2451</v>
      </c>
      <c r="B764">
        <v>787</v>
      </c>
      <c r="C764" t="s">
        <v>834</v>
      </c>
      <c r="D764" t="s">
        <v>1004</v>
      </c>
      <c r="E764" t="s">
        <v>10</v>
      </c>
      <c r="F764" t="s">
        <v>1265</v>
      </c>
      <c r="G764" t="s">
        <v>2452</v>
      </c>
      <c r="H764">
        <f t="shared" ref="H764:H818" si="110">IF(RIGHT(D764,1)="M", VALUE(SUBSTITUTE(D764,"M",""))*1000000, VALUE(SUBSTITUTE(D764,"K",""))*1000)</f>
        <v>8400000</v>
      </c>
      <c r="I764">
        <f t="shared" ref="I764:I818" si="111">IF(RIGHT(F764,1)="M", VALUE(SUBSTITUTE(F764,"M",""))*1000000, VALUE(SUBSTITUTE(F764,"K",""))*1000)</f>
        <v>277600</v>
      </c>
      <c r="J764">
        <f t="shared" ref="J764:J818" si="112">IF(RIGHT(G764,1)="M", VALUE(SUBSTITUTE(G764,"M",""))*1000000, VALUE(SUBSTITUTE(G764,"K",""))*1000)</f>
        <v>342800</v>
      </c>
      <c r="K764" s="2">
        <f t="shared" ref="K764:K818" si="113">I764/H764</f>
        <v>3.3047619047619048E-2</v>
      </c>
      <c r="L764" t="str">
        <f t="shared" ref="L764:L818" si="114">IF(H764&lt;10000000,"Tier 1",
 IF(H764&lt;50000000,"Tier 2",
 IF(H764&lt;100000000,"Tier 3",
 "Tier 4")))</f>
        <v>Tier 1</v>
      </c>
    </row>
    <row r="765" spans="1:12" x14ac:dyDescent="0.35">
      <c r="A765" s="1" t="s">
        <v>2453</v>
      </c>
      <c r="B765">
        <v>788</v>
      </c>
      <c r="C765" t="s">
        <v>26</v>
      </c>
      <c r="D765" t="s">
        <v>148</v>
      </c>
      <c r="E765" t="s">
        <v>58</v>
      </c>
      <c r="F765" t="s">
        <v>2454</v>
      </c>
      <c r="G765" t="s">
        <v>2455</v>
      </c>
      <c r="H765">
        <f t="shared" si="110"/>
        <v>5400000</v>
      </c>
      <c r="I765">
        <f t="shared" si="111"/>
        <v>408900</v>
      </c>
      <c r="J765">
        <f t="shared" si="112"/>
        <v>522600</v>
      </c>
      <c r="K765" s="2">
        <f t="shared" si="113"/>
        <v>7.5722222222222219E-2</v>
      </c>
      <c r="L765" t="str">
        <f t="shared" si="114"/>
        <v>Tier 1</v>
      </c>
    </row>
    <row r="766" spans="1:12" x14ac:dyDescent="0.35">
      <c r="A766" s="1" t="s">
        <v>2456</v>
      </c>
      <c r="B766">
        <v>789</v>
      </c>
      <c r="C766" t="s">
        <v>8</v>
      </c>
      <c r="D766" t="s">
        <v>2277</v>
      </c>
      <c r="E766" t="s">
        <v>22</v>
      </c>
      <c r="F766" t="s">
        <v>2345</v>
      </c>
      <c r="G766" t="s">
        <v>2457</v>
      </c>
      <c r="H766">
        <f t="shared" si="110"/>
        <v>12400000</v>
      </c>
      <c r="I766">
        <f t="shared" si="111"/>
        <v>137900</v>
      </c>
      <c r="J766">
        <f t="shared" si="112"/>
        <v>222500</v>
      </c>
      <c r="K766" s="2">
        <f t="shared" si="113"/>
        <v>1.1120967741935484E-2</v>
      </c>
      <c r="L766" t="str">
        <f t="shared" si="114"/>
        <v>Tier 2</v>
      </c>
    </row>
    <row r="767" spans="1:12" x14ac:dyDescent="0.35">
      <c r="A767" s="1" t="s">
        <v>2458</v>
      </c>
      <c r="B767">
        <v>790</v>
      </c>
      <c r="C767" t="s">
        <v>1193</v>
      </c>
      <c r="D767" t="s">
        <v>1411</v>
      </c>
      <c r="E767" t="s">
        <v>22</v>
      </c>
      <c r="F767" t="s">
        <v>2459</v>
      </c>
      <c r="G767" t="s">
        <v>2460</v>
      </c>
      <c r="H767">
        <f t="shared" si="110"/>
        <v>6700000</v>
      </c>
      <c r="I767">
        <f t="shared" si="111"/>
        <v>344900</v>
      </c>
      <c r="J767">
        <f t="shared" si="112"/>
        <v>421400</v>
      </c>
      <c r="K767" s="2">
        <f t="shared" si="113"/>
        <v>5.1477611940298505E-2</v>
      </c>
      <c r="L767" t="str">
        <f t="shared" si="114"/>
        <v>Tier 1</v>
      </c>
    </row>
    <row r="768" spans="1:12" x14ac:dyDescent="0.35">
      <c r="A768" s="1" t="s">
        <v>2461</v>
      </c>
      <c r="B768">
        <v>791</v>
      </c>
      <c r="C768" t="s">
        <v>69</v>
      </c>
      <c r="D768" t="s">
        <v>875</v>
      </c>
      <c r="E768" t="s">
        <v>42</v>
      </c>
      <c r="F768" t="s">
        <v>2462</v>
      </c>
      <c r="G768" t="s">
        <v>2463</v>
      </c>
      <c r="H768">
        <f t="shared" si="110"/>
        <v>18700000</v>
      </c>
      <c r="I768">
        <f t="shared" si="111"/>
        <v>94500</v>
      </c>
      <c r="J768">
        <f t="shared" si="112"/>
        <v>147700</v>
      </c>
      <c r="K768" s="2">
        <f t="shared" si="113"/>
        <v>5.053475935828877E-3</v>
      </c>
      <c r="L768" t="str">
        <f t="shared" si="114"/>
        <v>Tier 2</v>
      </c>
    </row>
    <row r="769" spans="1:12" x14ac:dyDescent="0.35">
      <c r="A769" s="1" t="s">
        <v>2464</v>
      </c>
      <c r="B769">
        <v>792</v>
      </c>
      <c r="C769" t="s">
        <v>26</v>
      </c>
      <c r="D769" t="s">
        <v>60</v>
      </c>
      <c r="E769" t="s">
        <v>114</v>
      </c>
      <c r="F769" t="s">
        <v>2465</v>
      </c>
      <c r="G769" t="s">
        <v>2466</v>
      </c>
      <c r="H769">
        <f t="shared" si="110"/>
        <v>7300000</v>
      </c>
      <c r="I769">
        <f t="shared" si="111"/>
        <v>320100</v>
      </c>
      <c r="J769">
        <f t="shared" si="112"/>
        <v>385700</v>
      </c>
      <c r="K769" s="2">
        <f t="shared" si="113"/>
        <v>4.3849315068493148E-2</v>
      </c>
      <c r="L769" t="str">
        <f t="shared" si="114"/>
        <v>Tier 1</v>
      </c>
    </row>
    <row r="770" spans="1:12" x14ac:dyDescent="0.35">
      <c r="A770" s="1" t="s">
        <v>2467</v>
      </c>
      <c r="B770">
        <v>793</v>
      </c>
      <c r="C770" t="s">
        <v>408</v>
      </c>
      <c r="D770" t="s">
        <v>2468</v>
      </c>
      <c r="E770" t="s">
        <v>42</v>
      </c>
      <c r="F770" t="s">
        <v>2469</v>
      </c>
      <c r="G770" t="s">
        <v>2470</v>
      </c>
      <c r="H770">
        <f t="shared" si="110"/>
        <v>30400000</v>
      </c>
      <c r="I770">
        <f t="shared" si="111"/>
        <v>55800</v>
      </c>
      <c r="J770">
        <f t="shared" si="112"/>
        <v>90500</v>
      </c>
      <c r="K770" s="2">
        <f t="shared" si="113"/>
        <v>1.8355263157894736E-3</v>
      </c>
      <c r="L770" t="str">
        <f t="shared" si="114"/>
        <v>Tier 2</v>
      </c>
    </row>
    <row r="771" spans="1:12" x14ac:dyDescent="0.35">
      <c r="A771" s="1" t="s">
        <v>2471</v>
      </c>
      <c r="B771">
        <v>794</v>
      </c>
      <c r="C771" t="s">
        <v>76</v>
      </c>
      <c r="D771" t="s">
        <v>2472</v>
      </c>
      <c r="E771" t="s">
        <v>10</v>
      </c>
      <c r="F771" t="s">
        <v>563</v>
      </c>
      <c r="G771" t="s">
        <v>2473</v>
      </c>
      <c r="H771">
        <f t="shared" si="110"/>
        <v>7500000</v>
      </c>
      <c r="I771">
        <f t="shared" si="111"/>
        <v>237700</v>
      </c>
      <c r="J771">
        <f t="shared" si="112"/>
        <v>373900</v>
      </c>
      <c r="K771" s="2">
        <f t="shared" si="113"/>
        <v>3.169333333333333E-2</v>
      </c>
      <c r="L771" t="str">
        <f t="shared" si="114"/>
        <v>Tier 1</v>
      </c>
    </row>
    <row r="772" spans="1:12" x14ac:dyDescent="0.35">
      <c r="A772" s="1" t="s">
        <v>2474</v>
      </c>
      <c r="B772">
        <v>795</v>
      </c>
      <c r="C772" t="s">
        <v>1395</v>
      </c>
      <c r="D772" t="s">
        <v>917</v>
      </c>
      <c r="E772" t="s">
        <v>22</v>
      </c>
      <c r="F772" t="s">
        <v>2475</v>
      </c>
      <c r="G772" t="s">
        <v>2476</v>
      </c>
      <c r="H772">
        <f t="shared" si="110"/>
        <v>8000000</v>
      </c>
      <c r="I772">
        <f t="shared" si="111"/>
        <v>198400</v>
      </c>
      <c r="J772">
        <f t="shared" si="112"/>
        <v>350500</v>
      </c>
      <c r="K772" s="2">
        <f t="shared" si="113"/>
        <v>2.4799999999999999E-2</v>
      </c>
      <c r="L772" t="str">
        <f t="shared" si="114"/>
        <v>Tier 1</v>
      </c>
    </row>
    <row r="773" spans="1:12" x14ac:dyDescent="0.35">
      <c r="A773" s="1" t="s">
        <v>2477</v>
      </c>
      <c r="B773">
        <v>796</v>
      </c>
      <c r="C773" t="s">
        <v>8</v>
      </c>
      <c r="D773" t="s">
        <v>1484</v>
      </c>
      <c r="E773" t="s">
        <v>42</v>
      </c>
      <c r="F773" t="s">
        <v>2478</v>
      </c>
      <c r="G773" t="s">
        <v>2479</v>
      </c>
      <c r="H773">
        <f t="shared" si="110"/>
        <v>17500000</v>
      </c>
      <c r="I773">
        <f t="shared" si="111"/>
        <v>101600</v>
      </c>
      <c r="J773">
        <f t="shared" si="112"/>
        <v>156800</v>
      </c>
      <c r="K773" s="2">
        <f t="shared" si="113"/>
        <v>5.8057142857142856E-3</v>
      </c>
      <c r="L773" t="str">
        <f t="shared" si="114"/>
        <v>Tier 2</v>
      </c>
    </row>
    <row r="774" spans="1:12" x14ac:dyDescent="0.35">
      <c r="A774" s="1" t="s">
        <v>2480</v>
      </c>
      <c r="B774">
        <v>797</v>
      </c>
      <c r="C774" t="s">
        <v>69</v>
      </c>
      <c r="D774" t="s">
        <v>1517</v>
      </c>
      <c r="E774" t="s">
        <v>1876</v>
      </c>
      <c r="F774" t="s">
        <v>2481</v>
      </c>
      <c r="G774" t="s">
        <v>2482</v>
      </c>
      <c r="H774">
        <f t="shared" si="110"/>
        <v>7400000</v>
      </c>
      <c r="I774">
        <f t="shared" si="111"/>
        <v>277000</v>
      </c>
      <c r="J774">
        <f t="shared" si="112"/>
        <v>375300</v>
      </c>
      <c r="K774" s="2">
        <f t="shared" si="113"/>
        <v>3.7432432432432432E-2</v>
      </c>
      <c r="L774" t="str">
        <f t="shared" si="114"/>
        <v>Tier 1</v>
      </c>
    </row>
    <row r="775" spans="1:12" x14ac:dyDescent="0.35">
      <c r="A775" s="1" t="s">
        <v>2483</v>
      </c>
      <c r="B775">
        <v>798</v>
      </c>
      <c r="C775" t="s">
        <v>76</v>
      </c>
      <c r="D775" t="s">
        <v>115</v>
      </c>
      <c r="E775" t="s">
        <v>22</v>
      </c>
      <c r="F775" t="s">
        <v>2484</v>
      </c>
      <c r="G775" t="s">
        <v>1566</v>
      </c>
      <c r="H775">
        <f t="shared" si="110"/>
        <v>6900000</v>
      </c>
      <c r="I775">
        <f t="shared" si="111"/>
        <v>210500</v>
      </c>
      <c r="J775">
        <f t="shared" si="112"/>
        <v>404200</v>
      </c>
      <c r="K775" s="2">
        <f t="shared" si="113"/>
        <v>3.0507246376811594E-2</v>
      </c>
      <c r="L775" t="str">
        <f t="shared" si="114"/>
        <v>Tier 1</v>
      </c>
    </row>
    <row r="776" spans="1:12" x14ac:dyDescent="0.35">
      <c r="A776" s="1" t="s">
        <v>2485</v>
      </c>
      <c r="B776">
        <v>799</v>
      </c>
      <c r="C776" t="s">
        <v>1177</v>
      </c>
      <c r="D776" t="s">
        <v>419</v>
      </c>
      <c r="E776" t="s">
        <v>22</v>
      </c>
      <c r="F776" t="s">
        <v>2486</v>
      </c>
      <c r="G776" t="s">
        <v>2487</v>
      </c>
      <c r="H776">
        <f t="shared" si="110"/>
        <v>35400000</v>
      </c>
      <c r="I776">
        <f t="shared" si="111"/>
        <v>66700</v>
      </c>
      <c r="J776">
        <f t="shared" si="112"/>
        <v>77500</v>
      </c>
      <c r="K776" s="2">
        <f t="shared" si="113"/>
        <v>1.8841807909604519E-3</v>
      </c>
      <c r="L776" t="str">
        <f t="shared" si="114"/>
        <v>Tier 2</v>
      </c>
    </row>
    <row r="777" spans="1:12" x14ac:dyDescent="0.35">
      <c r="A777" s="1" t="s">
        <v>2488</v>
      </c>
      <c r="B777">
        <v>800</v>
      </c>
      <c r="C777" t="s">
        <v>69</v>
      </c>
      <c r="D777" t="s">
        <v>2147</v>
      </c>
      <c r="E777" t="s">
        <v>10</v>
      </c>
      <c r="F777" t="s">
        <v>2489</v>
      </c>
      <c r="G777" t="s">
        <v>2490</v>
      </c>
      <c r="H777">
        <f t="shared" si="110"/>
        <v>4400000</v>
      </c>
      <c r="I777">
        <f t="shared" si="111"/>
        <v>489700</v>
      </c>
      <c r="J777">
        <f t="shared" si="112"/>
        <v>634400</v>
      </c>
      <c r="K777" s="2">
        <f t="shared" si="113"/>
        <v>0.11129545454545454</v>
      </c>
      <c r="L777" t="str">
        <f t="shared" si="114"/>
        <v>Tier 1</v>
      </c>
    </row>
    <row r="778" spans="1:12" x14ac:dyDescent="0.35">
      <c r="A778" s="1" t="s">
        <v>2491</v>
      </c>
      <c r="B778">
        <v>801</v>
      </c>
      <c r="C778" t="s">
        <v>69</v>
      </c>
      <c r="D778" t="s">
        <v>175</v>
      </c>
      <c r="E778" t="s">
        <v>252</v>
      </c>
      <c r="F778" t="s">
        <v>2492</v>
      </c>
      <c r="G778" t="s">
        <v>2493</v>
      </c>
      <c r="H778">
        <f t="shared" si="110"/>
        <v>3800000</v>
      </c>
      <c r="I778">
        <f t="shared" si="111"/>
        <v>547200</v>
      </c>
      <c r="J778">
        <f t="shared" si="112"/>
        <v>730000</v>
      </c>
      <c r="K778" s="2">
        <f t="shared" si="113"/>
        <v>0.14399999999999999</v>
      </c>
      <c r="L778" t="str">
        <f t="shared" si="114"/>
        <v>Tier 1</v>
      </c>
    </row>
    <row r="779" spans="1:12" x14ac:dyDescent="0.35">
      <c r="A779" s="1" t="s">
        <v>2494</v>
      </c>
      <c r="B779">
        <v>802</v>
      </c>
      <c r="C779" t="s">
        <v>8</v>
      </c>
      <c r="D779" t="s">
        <v>1550</v>
      </c>
      <c r="E779" t="s">
        <v>265</v>
      </c>
      <c r="F779" t="s">
        <v>2495</v>
      </c>
      <c r="G779" t="s">
        <v>2496</v>
      </c>
      <c r="H779">
        <f t="shared" si="110"/>
        <v>11500000</v>
      </c>
      <c r="I779">
        <f t="shared" si="111"/>
        <v>195700</v>
      </c>
      <c r="J779">
        <f t="shared" si="112"/>
        <v>236400</v>
      </c>
      <c r="K779" s="2">
        <f t="shared" si="113"/>
        <v>1.7017391304347824E-2</v>
      </c>
      <c r="L779" t="str">
        <f t="shared" si="114"/>
        <v>Tier 2</v>
      </c>
    </row>
    <row r="780" spans="1:12" x14ac:dyDescent="0.35">
      <c r="A780" s="1" t="s">
        <v>2497</v>
      </c>
      <c r="B780">
        <v>803</v>
      </c>
      <c r="C780" t="s">
        <v>2498</v>
      </c>
      <c r="D780" t="s">
        <v>812</v>
      </c>
      <c r="E780" t="s">
        <v>519</v>
      </c>
      <c r="F780" t="s">
        <v>2499</v>
      </c>
      <c r="G780" t="s">
        <v>2500</v>
      </c>
      <c r="H780">
        <f t="shared" si="110"/>
        <v>8700000</v>
      </c>
      <c r="I780">
        <f t="shared" si="111"/>
        <v>252600</v>
      </c>
      <c r="J780">
        <f t="shared" si="112"/>
        <v>313500</v>
      </c>
      <c r="K780" s="2">
        <f t="shared" si="113"/>
        <v>2.9034482758620691E-2</v>
      </c>
      <c r="L780" t="str">
        <f t="shared" si="114"/>
        <v>Tier 1</v>
      </c>
    </row>
    <row r="781" spans="1:12" x14ac:dyDescent="0.35">
      <c r="A781" s="1" t="s">
        <v>2501</v>
      </c>
      <c r="B781">
        <v>804</v>
      </c>
      <c r="D781" t="s">
        <v>111</v>
      </c>
      <c r="E781" t="s">
        <v>519</v>
      </c>
      <c r="F781" t="s">
        <v>2502</v>
      </c>
      <c r="G781" t="s">
        <v>2503</v>
      </c>
      <c r="H781">
        <f t="shared" si="110"/>
        <v>4600000</v>
      </c>
      <c r="I781">
        <f t="shared" si="111"/>
        <v>472800</v>
      </c>
      <c r="J781">
        <f t="shared" si="112"/>
        <v>611600</v>
      </c>
      <c r="K781" s="2">
        <f t="shared" si="113"/>
        <v>0.10278260869565217</v>
      </c>
      <c r="L781" t="str">
        <f t="shared" si="114"/>
        <v>Tier 1</v>
      </c>
    </row>
    <row r="782" spans="1:12" x14ac:dyDescent="0.35">
      <c r="A782" s="1" t="s">
        <v>2504</v>
      </c>
      <c r="B782">
        <v>805</v>
      </c>
      <c r="C782" t="s">
        <v>180</v>
      </c>
      <c r="D782" t="s">
        <v>1831</v>
      </c>
      <c r="E782" t="s">
        <v>10</v>
      </c>
      <c r="F782" t="s">
        <v>2505</v>
      </c>
      <c r="G782" t="s">
        <v>2506</v>
      </c>
      <c r="H782">
        <f t="shared" si="110"/>
        <v>6100000</v>
      </c>
      <c r="I782">
        <f t="shared" si="111"/>
        <v>396100</v>
      </c>
      <c r="J782">
        <f t="shared" si="112"/>
        <v>491800</v>
      </c>
      <c r="K782" s="2">
        <f t="shared" si="113"/>
        <v>6.4934426229508194E-2</v>
      </c>
      <c r="L782" t="str">
        <f t="shared" si="114"/>
        <v>Tier 1</v>
      </c>
    </row>
    <row r="783" spans="1:12" x14ac:dyDescent="0.35">
      <c r="A783" s="1" t="s">
        <v>2507</v>
      </c>
      <c r="B783">
        <v>806</v>
      </c>
      <c r="C783" t="s">
        <v>2508</v>
      </c>
      <c r="D783" t="s">
        <v>2509</v>
      </c>
      <c r="E783" t="s">
        <v>22</v>
      </c>
      <c r="F783" t="s">
        <v>1265</v>
      </c>
      <c r="G783" t="s">
        <v>1408</v>
      </c>
      <c r="H783">
        <f t="shared" si="110"/>
        <v>6800000</v>
      </c>
      <c r="I783">
        <f t="shared" si="111"/>
        <v>277600</v>
      </c>
      <c r="J783">
        <f t="shared" si="112"/>
        <v>406400</v>
      </c>
      <c r="K783" s="2">
        <f t="shared" si="113"/>
        <v>4.0823529411764703E-2</v>
      </c>
      <c r="L783" t="str">
        <f t="shared" si="114"/>
        <v>Tier 1</v>
      </c>
    </row>
    <row r="784" spans="1:12" x14ac:dyDescent="0.35">
      <c r="A784" s="1" t="s">
        <v>2510</v>
      </c>
      <c r="B784">
        <v>807</v>
      </c>
      <c r="C784" t="s">
        <v>26</v>
      </c>
      <c r="D784" t="s">
        <v>2511</v>
      </c>
      <c r="E784" t="s">
        <v>58</v>
      </c>
      <c r="F784" t="s">
        <v>2512</v>
      </c>
      <c r="G784" t="s">
        <v>2513</v>
      </c>
      <c r="H784">
        <f t="shared" si="110"/>
        <v>39600000</v>
      </c>
      <c r="I784">
        <f t="shared" si="111"/>
        <v>51400</v>
      </c>
      <c r="J784">
        <f t="shared" si="112"/>
        <v>68000</v>
      </c>
      <c r="K784" s="2">
        <f t="shared" si="113"/>
        <v>1.297979797979798E-3</v>
      </c>
      <c r="L784" t="str">
        <f t="shared" si="114"/>
        <v>Tier 2</v>
      </c>
    </row>
    <row r="785" spans="1:12" x14ac:dyDescent="0.35">
      <c r="A785" s="1" t="s">
        <v>2514</v>
      </c>
      <c r="B785">
        <v>808</v>
      </c>
      <c r="C785" t="s">
        <v>26</v>
      </c>
      <c r="D785" t="s">
        <v>810</v>
      </c>
      <c r="E785" t="s">
        <v>799</v>
      </c>
      <c r="F785" t="s">
        <v>2515</v>
      </c>
      <c r="G785" t="s">
        <v>2516</v>
      </c>
      <c r="H785">
        <f t="shared" si="110"/>
        <v>7600000</v>
      </c>
      <c r="I785">
        <f t="shared" si="111"/>
        <v>323200</v>
      </c>
      <c r="J785">
        <f t="shared" si="112"/>
        <v>360600</v>
      </c>
      <c r="K785" s="2">
        <f t="shared" si="113"/>
        <v>4.2526315789473683E-2</v>
      </c>
      <c r="L785" t="str">
        <f t="shared" si="114"/>
        <v>Tier 1</v>
      </c>
    </row>
    <row r="786" spans="1:12" x14ac:dyDescent="0.35">
      <c r="A786" s="1" t="s">
        <v>2517</v>
      </c>
      <c r="B786">
        <v>809</v>
      </c>
      <c r="C786" t="s">
        <v>313</v>
      </c>
      <c r="D786" t="s">
        <v>804</v>
      </c>
      <c r="E786" t="s">
        <v>42</v>
      </c>
      <c r="F786" t="s">
        <v>2518</v>
      </c>
      <c r="G786" t="s">
        <v>2519</v>
      </c>
      <c r="H786">
        <f t="shared" si="110"/>
        <v>18300000</v>
      </c>
      <c r="I786">
        <f t="shared" si="111"/>
        <v>83800</v>
      </c>
      <c r="J786">
        <f t="shared" si="112"/>
        <v>148800</v>
      </c>
      <c r="K786" s="2">
        <f t="shared" si="113"/>
        <v>4.5792349726775953E-3</v>
      </c>
      <c r="L786" t="str">
        <f t="shared" si="114"/>
        <v>Tier 2</v>
      </c>
    </row>
    <row r="787" spans="1:12" x14ac:dyDescent="0.35">
      <c r="A787" s="1" t="s">
        <v>2520</v>
      </c>
      <c r="B787">
        <v>810</v>
      </c>
      <c r="C787" t="s">
        <v>8</v>
      </c>
      <c r="D787" t="s">
        <v>1714</v>
      </c>
      <c r="E787" t="s">
        <v>22</v>
      </c>
      <c r="F787" t="s">
        <v>2521</v>
      </c>
      <c r="G787" t="s">
        <v>2522</v>
      </c>
      <c r="H787">
        <f t="shared" si="110"/>
        <v>9200000</v>
      </c>
      <c r="I787">
        <f t="shared" si="111"/>
        <v>180600</v>
      </c>
      <c r="J787">
        <f t="shared" si="112"/>
        <v>298300</v>
      </c>
      <c r="K787" s="2">
        <f t="shared" si="113"/>
        <v>1.9630434782608695E-2</v>
      </c>
      <c r="L787" t="str">
        <f t="shared" si="114"/>
        <v>Tier 1</v>
      </c>
    </row>
    <row r="788" spans="1:12" x14ac:dyDescent="0.35">
      <c r="A788" s="1" t="s">
        <v>2523</v>
      </c>
      <c r="B788">
        <v>811</v>
      </c>
      <c r="C788" t="s">
        <v>8</v>
      </c>
      <c r="D788" t="s">
        <v>2019</v>
      </c>
      <c r="E788" t="s">
        <v>279</v>
      </c>
      <c r="F788" t="s">
        <v>2524</v>
      </c>
      <c r="G788" t="s">
        <v>2525</v>
      </c>
      <c r="H788">
        <f t="shared" si="110"/>
        <v>14500000</v>
      </c>
      <c r="I788">
        <f t="shared" si="111"/>
        <v>128600</v>
      </c>
      <c r="J788">
        <f t="shared" si="112"/>
        <v>185500</v>
      </c>
      <c r="K788" s="2">
        <f t="shared" si="113"/>
        <v>8.8689655172413794E-3</v>
      </c>
      <c r="L788" t="str">
        <f t="shared" si="114"/>
        <v>Tier 2</v>
      </c>
    </row>
    <row r="789" spans="1:12" x14ac:dyDescent="0.35">
      <c r="A789" s="1" t="s">
        <v>2526</v>
      </c>
      <c r="B789">
        <v>812</v>
      </c>
      <c r="C789" t="s">
        <v>26</v>
      </c>
      <c r="D789" t="s">
        <v>821</v>
      </c>
      <c r="E789" t="s">
        <v>22</v>
      </c>
      <c r="F789" t="s">
        <v>2527</v>
      </c>
      <c r="G789" t="s">
        <v>880</v>
      </c>
      <c r="H789">
        <f t="shared" si="110"/>
        <v>15200000</v>
      </c>
      <c r="I789">
        <f t="shared" si="111"/>
        <v>104200</v>
      </c>
      <c r="J789">
        <f t="shared" si="112"/>
        <v>177100</v>
      </c>
      <c r="K789" s="2">
        <f t="shared" si="113"/>
        <v>6.8552631578947367E-3</v>
      </c>
      <c r="L789" t="str">
        <f t="shared" si="114"/>
        <v>Tier 2</v>
      </c>
    </row>
    <row r="790" spans="1:12" x14ac:dyDescent="0.35">
      <c r="A790" s="1" t="s">
        <v>2528</v>
      </c>
      <c r="B790">
        <v>813</v>
      </c>
      <c r="C790" t="s">
        <v>26</v>
      </c>
      <c r="D790" t="s">
        <v>1681</v>
      </c>
      <c r="E790" t="s">
        <v>584</v>
      </c>
      <c r="F790" t="s">
        <v>2529</v>
      </c>
      <c r="G790" t="s">
        <v>2530</v>
      </c>
      <c r="H790">
        <f t="shared" si="110"/>
        <v>8800000</v>
      </c>
      <c r="I790">
        <f t="shared" si="111"/>
        <v>202800</v>
      </c>
      <c r="J790">
        <f t="shared" si="112"/>
        <v>314700</v>
      </c>
      <c r="K790" s="2">
        <f t="shared" si="113"/>
        <v>2.3045454545454546E-2</v>
      </c>
      <c r="L790" t="str">
        <f t="shared" si="114"/>
        <v>Tier 1</v>
      </c>
    </row>
    <row r="791" spans="1:12" x14ac:dyDescent="0.35">
      <c r="A791" s="1" t="s">
        <v>2531</v>
      </c>
      <c r="B791">
        <v>814</v>
      </c>
      <c r="C791" t="s">
        <v>69</v>
      </c>
      <c r="D791" t="s">
        <v>1311</v>
      </c>
      <c r="E791" t="s">
        <v>10</v>
      </c>
      <c r="F791" t="s">
        <v>2532</v>
      </c>
      <c r="G791" t="s">
        <v>2533</v>
      </c>
      <c r="H791">
        <f t="shared" si="110"/>
        <v>5100000</v>
      </c>
      <c r="I791">
        <f t="shared" si="111"/>
        <v>456000</v>
      </c>
      <c r="J791">
        <f t="shared" si="112"/>
        <v>537100</v>
      </c>
      <c r="K791" s="2">
        <f t="shared" si="113"/>
        <v>8.9411764705882357E-2</v>
      </c>
      <c r="L791" t="str">
        <f t="shared" si="114"/>
        <v>Tier 1</v>
      </c>
    </row>
    <row r="792" spans="1:12" x14ac:dyDescent="0.35">
      <c r="A792" s="1" t="s">
        <v>2534</v>
      </c>
      <c r="B792">
        <v>815</v>
      </c>
      <c r="C792" t="s">
        <v>153</v>
      </c>
      <c r="D792" t="s">
        <v>1509</v>
      </c>
      <c r="E792" t="s">
        <v>22</v>
      </c>
      <c r="F792" t="s">
        <v>1810</v>
      </c>
      <c r="G792" t="s">
        <v>2535</v>
      </c>
      <c r="H792">
        <f t="shared" si="110"/>
        <v>7100000</v>
      </c>
      <c r="I792">
        <f t="shared" si="111"/>
        <v>230500</v>
      </c>
      <c r="J792">
        <f t="shared" si="112"/>
        <v>383300</v>
      </c>
      <c r="K792" s="2">
        <f t="shared" si="113"/>
        <v>3.2464788732394369E-2</v>
      </c>
      <c r="L792" t="str">
        <f t="shared" si="114"/>
        <v>Tier 1</v>
      </c>
    </row>
    <row r="793" spans="1:12" x14ac:dyDescent="0.35">
      <c r="A793" s="1" t="s">
        <v>2536</v>
      </c>
      <c r="B793">
        <v>817</v>
      </c>
      <c r="D793" t="s">
        <v>151</v>
      </c>
      <c r="E793" t="s">
        <v>42</v>
      </c>
      <c r="F793" t="s">
        <v>2537</v>
      </c>
      <c r="G793" t="s">
        <v>2538</v>
      </c>
      <c r="H793">
        <f t="shared" si="110"/>
        <v>3500000</v>
      </c>
      <c r="I793">
        <f t="shared" si="111"/>
        <v>618100</v>
      </c>
      <c r="J793">
        <f t="shared" si="112"/>
        <v>786300</v>
      </c>
      <c r="K793" s="2">
        <f t="shared" si="113"/>
        <v>0.17660000000000001</v>
      </c>
      <c r="L793" t="str">
        <f t="shared" si="114"/>
        <v>Tier 1</v>
      </c>
    </row>
    <row r="794" spans="1:12" x14ac:dyDescent="0.35">
      <c r="A794" s="1" t="s">
        <v>2539</v>
      </c>
      <c r="B794">
        <v>818</v>
      </c>
      <c r="C794" t="s">
        <v>2540</v>
      </c>
      <c r="D794" t="s">
        <v>74</v>
      </c>
      <c r="E794" t="s">
        <v>1030</v>
      </c>
      <c r="F794" t="s">
        <v>2525</v>
      </c>
      <c r="G794" t="s">
        <v>636</v>
      </c>
      <c r="H794">
        <f t="shared" si="110"/>
        <v>11800000</v>
      </c>
      <c r="I794">
        <f t="shared" si="111"/>
        <v>185500</v>
      </c>
      <c r="J794">
        <f t="shared" si="112"/>
        <v>226500</v>
      </c>
      <c r="K794" s="2">
        <f t="shared" si="113"/>
        <v>1.5720338983050846E-2</v>
      </c>
      <c r="L794" t="str">
        <f t="shared" si="114"/>
        <v>Tier 2</v>
      </c>
    </row>
    <row r="795" spans="1:12" x14ac:dyDescent="0.35">
      <c r="A795" s="1" t="s">
        <v>2541</v>
      </c>
      <c r="B795">
        <v>819</v>
      </c>
      <c r="C795" t="s">
        <v>76</v>
      </c>
      <c r="D795" t="s">
        <v>746</v>
      </c>
      <c r="E795" t="s">
        <v>42</v>
      </c>
      <c r="F795" t="s">
        <v>2346</v>
      </c>
      <c r="G795" t="s">
        <v>2542</v>
      </c>
      <c r="H795">
        <f t="shared" si="110"/>
        <v>9100000</v>
      </c>
      <c r="I795">
        <f t="shared" si="111"/>
        <v>186400</v>
      </c>
      <c r="J795">
        <f t="shared" si="112"/>
        <v>300500</v>
      </c>
      <c r="K795" s="2">
        <f t="shared" si="113"/>
        <v>2.0483516483516484E-2</v>
      </c>
      <c r="L795" t="str">
        <f t="shared" si="114"/>
        <v>Tier 1</v>
      </c>
    </row>
    <row r="796" spans="1:12" x14ac:dyDescent="0.35">
      <c r="A796" s="1" t="s">
        <v>2543</v>
      </c>
      <c r="B796">
        <v>820</v>
      </c>
      <c r="C796" t="s">
        <v>180</v>
      </c>
      <c r="D796" t="s">
        <v>215</v>
      </c>
      <c r="E796" t="s">
        <v>58</v>
      </c>
      <c r="F796" t="s">
        <v>2544</v>
      </c>
      <c r="G796" t="s">
        <v>2545</v>
      </c>
      <c r="H796">
        <f t="shared" si="110"/>
        <v>26600000</v>
      </c>
      <c r="I796">
        <f t="shared" si="111"/>
        <v>80200</v>
      </c>
      <c r="J796">
        <f t="shared" si="112"/>
        <v>100800</v>
      </c>
      <c r="K796" s="2">
        <f t="shared" si="113"/>
        <v>3.0150375939849623E-3</v>
      </c>
      <c r="L796" t="str">
        <f t="shared" si="114"/>
        <v>Tier 2</v>
      </c>
    </row>
    <row r="797" spans="1:12" x14ac:dyDescent="0.35">
      <c r="A797" s="1" t="s">
        <v>2546</v>
      </c>
      <c r="B797">
        <v>821</v>
      </c>
      <c r="C797" t="s">
        <v>2547</v>
      </c>
      <c r="D797" t="s">
        <v>81</v>
      </c>
      <c r="E797" t="s">
        <v>2109</v>
      </c>
      <c r="F797" t="s">
        <v>2548</v>
      </c>
      <c r="G797" t="s">
        <v>2549</v>
      </c>
      <c r="H797">
        <f t="shared" si="110"/>
        <v>9900000</v>
      </c>
      <c r="I797">
        <f t="shared" si="111"/>
        <v>257200</v>
      </c>
      <c r="J797">
        <f t="shared" si="112"/>
        <v>273900</v>
      </c>
      <c r="K797" s="2">
        <f t="shared" si="113"/>
        <v>2.5979797979797981E-2</v>
      </c>
      <c r="L797" t="str">
        <f t="shared" si="114"/>
        <v>Tier 1</v>
      </c>
    </row>
    <row r="798" spans="1:12" x14ac:dyDescent="0.35">
      <c r="A798" s="1" t="s">
        <v>2550</v>
      </c>
      <c r="B798">
        <v>822</v>
      </c>
      <c r="C798" t="s">
        <v>76</v>
      </c>
      <c r="D798" t="s">
        <v>649</v>
      </c>
      <c r="E798" t="s">
        <v>58</v>
      </c>
      <c r="F798" t="s">
        <v>2551</v>
      </c>
      <c r="G798" t="s">
        <v>2552</v>
      </c>
      <c r="H798">
        <f t="shared" si="110"/>
        <v>10700000</v>
      </c>
      <c r="I798">
        <f t="shared" si="111"/>
        <v>193900</v>
      </c>
      <c r="J798">
        <f t="shared" si="112"/>
        <v>247600</v>
      </c>
      <c r="K798" s="2">
        <f t="shared" si="113"/>
        <v>1.8121495327102805E-2</v>
      </c>
      <c r="L798" t="str">
        <f t="shared" si="114"/>
        <v>Tier 2</v>
      </c>
    </row>
    <row r="799" spans="1:12" x14ac:dyDescent="0.35">
      <c r="A799" s="1" t="s">
        <v>2553</v>
      </c>
      <c r="B799">
        <v>823</v>
      </c>
      <c r="C799" t="s">
        <v>313</v>
      </c>
      <c r="D799" t="s">
        <v>2554</v>
      </c>
      <c r="E799" t="s">
        <v>195</v>
      </c>
      <c r="F799" t="s">
        <v>2555</v>
      </c>
      <c r="G799" t="s">
        <v>2556</v>
      </c>
      <c r="H799">
        <f t="shared" si="110"/>
        <v>18800000</v>
      </c>
      <c r="I799">
        <f t="shared" si="111"/>
        <v>102100</v>
      </c>
      <c r="J799">
        <f t="shared" si="112"/>
        <v>140800</v>
      </c>
      <c r="K799" s="2">
        <f t="shared" si="113"/>
        <v>5.4308510638297874E-3</v>
      </c>
      <c r="L799" t="str">
        <f t="shared" si="114"/>
        <v>Tier 2</v>
      </c>
    </row>
    <row r="800" spans="1:12" x14ac:dyDescent="0.35">
      <c r="A800" s="1" t="s">
        <v>2557</v>
      </c>
      <c r="B800">
        <v>824</v>
      </c>
      <c r="C800" t="s">
        <v>26</v>
      </c>
      <c r="D800" t="s">
        <v>353</v>
      </c>
      <c r="E800" t="s">
        <v>58</v>
      </c>
      <c r="F800" t="s">
        <v>2558</v>
      </c>
      <c r="G800" t="s">
        <v>2559</v>
      </c>
      <c r="H800">
        <f t="shared" si="110"/>
        <v>4099999.9999999995</v>
      </c>
      <c r="I800">
        <f t="shared" si="111"/>
        <v>540200</v>
      </c>
      <c r="J800">
        <f t="shared" si="112"/>
        <v>654900</v>
      </c>
      <c r="K800" s="2">
        <f t="shared" si="113"/>
        <v>0.13175609756097562</v>
      </c>
      <c r="L800" t="str">
        <f t="shared" si="114"/>
        <v>Tier 1</v>
      </c>
    </row>
    <row r="801" spans="1:12" x14ac:dyDescent="0.35">
      <c r="A801" s="1" t="s">
        <v>2560</v>
      </c>
      <c r="B801">
        <v>825</v>
      </c>
      <c r="C801" t="s">
        <v>76</v>
      </c>
      <c r="D801" t="s">
        <v>118</v>
      </c>
      <c r="E801" t="s">
        <v>58</v>
      </c>
      <c r="F801" t="s">
        <v>1759</v>
      </c>
      <c r="G801" t="s">
        <v>2561</v>
      </c>
      <c r="H801">
        <f t="shared" si="110"/>
        <v>6000000</v>
      </c>
      <c r="I801">
        <f t="shared" si="111"/>
        <v>340900</v>
      </c>
      <c r="J801">
        <f t="shared" si="112"/>
        <v>449400</v>
      </c>
      <c r="K801" s="2">
        <f t="shared" si="113"/>
        <v>5.6816666666666668E-2</v>
      </c>
      <c r="L801" t="str">
        <f t="shared" si="114"/>
        <v>Tier 1</v>
      </c>
    </row>
    <row r="802" spans="1:12" x14ac:dyDescent="0.35">
      <c r="A802" s="1" t="s">
        <v>2562</v>
      </c>
      <c r="B802">
        <v>826</v>
      </c>
      <c r="C802" t="s">
        <v>180</v>
      </c>
      <c r="D802" t="s">
        <v>1260</v>
      </c>
      <c r="E802" t="s">
        <v>141</v>
      </c>
      <c r="F802" t="s">
        <v>902</v>
      </c>
      <c r="G802" t="s">
        <v>2563</v>
      </c>
      <c r="H802">
        <f t="shared" si="110"/>
        <v>8100000</v>
      </c>
      <c r="I802">
        <f t="shared" si="111"/>
        <v>289900</v>
      </c>
      <c r="J802">
        <f t="shared" si="112"/>
        <v>331600</v>
      </c>
      <c r="K802" s="2">
        <f t="shared" si="113"/>
        <v>3.5790123456790127E-2</v>
      </c>
      <c r="L802" t="str">
        <f t="shared" si="114"/>
        <v>Tier 1</v>
      </c>
    </row>
    <row r="803" spans="1:12" x14ac:dyDescent="0.35">
      <c r="A803" s="1" t="s">
        <v>2564</v>
      </c>
      <c r="B803">
        <v>827</v>
      </c>
      <c r="C803" t="s">
        <v>69</v>
      </c>
      <c r="D803" t="s">
        <v>190</v>
      </c>
      <c r="E803" t="s">
        <v>58</v>
      </c>
      <c r="F803" t="s">
        <v>2565</v>
      </c>
      <c r="G803" t="s">
        <v>2566</v>
      </c>
      <c r="H803">
        <f t="shared" si="110"/>
        <v>4500000</v>
      </c>
      <c r="I803">
        <f t="shared" si="111"/>
        <v>452200</v>
      </c>
      <c r="J803">
        <f t="shared" si="112"/>
        <v>599200</v>
      </c>
      <c r="K803" s="2">
        <f t="shared" si="113"/>
        <v>0.10048888888888889</v>
      </c>
      <c r="L803" t="str">
        <f t="shared" si="114"/>
        <v>Tier 1</v>
      </c>
    </row>
    <row r="804" spans="1:12" x14ac:dyDescent="0.35">
      <c r="A804" s="1" t="s">
        <v>2567</v>
      </c>
      <c r="B804">
        <v>828</v>
      </c>
      <c r="C804" t="s">
        <v>69</v>
      </c>
      <c r="D804" t="s">
        <v>1615</v>
      </c>
      <c r="E804" t="s">
        <v>279</v>
      </c>
      <c r="F804" t="s">
        <v>2568</v>
      </c>
      <c r="G804" t="s">
        <v>2569</v>
      </c>
      <c r="H804">
        <f t="shared" si="110"/>
        <v>11700000</v>
      </c>
      <c r="I804">
        <f t="shared" si="111"/>
        <v>167300</v>
      </c>
      <c r="J804">
        <f t="shared" si="112"/>
        <v>225400</v>
      </c>
      <c r="K804" s="2">
        <f t="shared" si="113"/>
        <v>1.42991452991453E-2</v>
      </c>
      <c r="L804" t="str">
        <f t="shared" si="114"/>
        <v>Tier 2</v>
      </c>
    </row>
    <row r="805" spans="1:12" x14ac:dyDescent="0.35">
      <c r="A805" s="1" t="s">
        <v>2570</v>
      </c>
      <c r="B805">
        <v>829</v>
      </c>
      <c r="C805" t="s">
        <v>2186</v>
      </c>
      <c r="D805" t="s">
        <v>1039</v>
      </c>
      <c r="E805" t="s">
        <v>195</v>
      </c>
      <c r="F805" t="s">
        <v>1820</v>
      </c>
      <c r="G805" t="s">
        <v>2571</v>
      </c>
      <c r="H805">
        <f t="shared" si="110"/>
        <v>18400000</v>
      </c>
      <c r="I805">
        <f t="shared" si="111"/>
        <v>116700</v>
      </c>
      <c r="J805">
        <f t="shared" si="112"/>
        <v>143400</v>
      </c>
      <c r="K805" s="2">
        <f t="shared" si="113"/>
        <v>6.3423913043478258E-3</v>
      </c>
      <c r="L805" t="str">
        <f t="shared" si="114"/>
        <v>Tier 2</v>
      </c>
    </row>
    <row r="806" spans="1:12" x14ac:dyDescent="0.35">
      <c r="A806" s="1" t="s">
        <v>2572</v>
      </c>
      <c r="B806">
        <v>830</v>
      </c>
      <c r="C806" t="s">
        <v>69</v>
      </c>
      <c r="D806" t="s">
        <v>439</v>
      </c>
      <c r="E806" t="s">
        <v>42</v>
      </c>
      <c r="F806" t="s">
        <v>2573</v>
      </c>
      <c r="G806" t="s">
        <v>2574</v>
      </c>
      <c r="H806">
        <f t="shared" si="110"/>
        <v>20900000</v>
      </c>
      <c r="I806">
        <f t="shared" si="111"/>
        <v>100000</v>
      </c>
      <c r="J806">
        <f t="shared" si="112"/>
        <v>127300</v>
      </c>
      <c r="K806" s="2">
        <f t="shared" si="113"/>
        <v>4.7846889952153108E-3</v>
      </c>
      <c r="L806" t="str">
        <f t="shared" si="114"/>
        <v>Tier 2</v>
      </c>
    </row>
    <row r="807" spans="1:12" x14ac:dyDescent="0.35">
      <c r="A807" s="1" t="s">
        <v>2575</v>
      </c>
      <c r="B807">
        <v>831</v>
      </c>
      <c r="D807" t="s">
        <v>23</v>
      </c>
      <c r="E807" t="s">
        <v>22</v>
      </c>
      <c r="F807" t="s">
        <v>2576</v>
      </c>
      <c r="G807" t="s">
        <v>434</v>
      </c>
      <c r="H807">
        <f t="shared" si="110"/>
        <v>3000000</v>
      </c>
      <c r="I807">
        <f t="shared" si="111"/>
        <v>509000</v>
      </c>
      <c r="J807">
        <f t="shared" si="112"/>
        <v>1000000</v>
      </c>
      <c r="K807" s="2">
        <f t="shared" si="113"/>
        <v>0.16966666666666666</v>
      </c>
      <c r="L807" t="str">
        <f t="shared" si="114"/>
        <v>Tier 1</v>
      </c>
    </row>
    <row r="808" spans="1:12" x14ac:dyDescent="0.35">
      <c r="A808" s="1" t="s">
        <v>2577</v>
      </c>
      <c r="B808">
        <v>832</v>
      </c>
      <c r="C808" t="s">
        <v>834</v>
      </c>
      <c r="D808" t="s">
        <v>651</v>
      </c>
      <c r="E808" t="s">
        <v>22</v>
      </c>
      <c r="F808" t="s">
        <v>2578</v>
      </c>
      <c r="G808" t="s">
        <v>2579</v>
      </c>
      <c r="H808">
        <f t="shared" si="110"/>
        <v>10300000</v>
      </c>
      <c r="I808">
        <f t="shared" si="111"/>
        <v>173700</v>
      </c>
      <c r="J808">
        <f t="shared" si="112"/>
        <v>256000</v>
      </c>
      <c r="K808" s="2">
        <f t="shared" si="113"/>
        <v>1.6864077669902913E-2</v>
      </c>
      <c r="L808" t="str">
        <f t="shared" si="114"/>
        <v>Tier 2</v>
      </c>
    </row>
    <row r="809" spans="1:12" x14ac:dyDescent="0.35">
      <c r="A809" s="1" t="s">
        <v>2580</v>
      </c>
      <c r="B809">
        <v>833</v>
      </c>
      <c r="C809" t="s">
        <v>76</v>
      </c>
      <c r="D809" t="s">
        <v>767</v>
      </c>
      <c r="E809" t="s">
        <v>42</v>
      </c>
      <c r="F809" t="s">
        <v>2581</v>
      </c>
      <c r="G809" t="s">
        <v>2582</v>
      </c>
      <c r="H809">
        <f t="shared" si="110"/>
        <v>10000000</v>
      </c>
      <c r="I809">
        <f t="shared" si="111"/>
        <v>76900</v>
      </c>
      <c r="J809">
        <f t="shared" si="112"/>
        <v>270300</v>
      </c>
      <c r="K809" s="2">
        <f t="shared" si="113"/>
        <v>7.6899999999999998E-3</v>
      </c>
      <c r="L809" t="str">
        <f t="shared" si="114"/>
        <v>Tier 2</v>
      </c>
    </row>
    <row r="810" spans="1:12" x14ac:dyDescent="0.35">
      <c r="A810" s="1" t="s">
        <v>2583</v>
      </c>
      <c r="B810">
        <v>834</v>
      </c>
      <c r="C810" t="s">
        <v>2230</v>
      </c>
      <c r="D810" t="s">
        <v>81</v>
      </c>
      <c r="E810" t="s">
        <v>42</v>
      </c>
      <c r="F810" t="s">
        <v>2584</v>
      </c>
      <c r="G810" t="s">
        <v>2585</v>
      </c>
      <c r="H810">
        <f t="shared" si="110"/>
        <v>9900000</v>
      </c>
      <c r="I810">
        <f t="shared" si="111"/>
        <v>172600</v>
      </c>
      <c r="J810">
        <f t="shared" si="112"/>
        <v>269200</v>
      </c>
      <c r="K810" s="2">
        <f t="shared" si="113"/>
        <v>1.7434343434343434E-2</v>
      </c>
      <c r="L810" t="str">
        <f t="shared" si="114"/>
        <v>Tier 1</v>
      </c>
    </row>
    <row r="811" spans="1:12" x14ac:dyDescent="0.35">
      <c r="A811" s="1" t="s">
        <v>2586</v>
      </c>
      <c r="B811">
        <v>835</v>
      </c>
      <c r="C811" t="s">
        <v>2587</v>
      </c>
      <c r="D811" t="s">
        <v>742</v>
      </c>
      <c r="E811" t="s">
        <v>22</v>
      </c>
      <c r="F811" t="s">
        <v>2101</v>
      </c>
      <c r="G811" t="s">
        <v>2588</v>
      </c>
      <c r="H811">
        <f t="shared" si="110"/>
        <v>9000000</v>
      </c>
      <c r="I811">
        <f t="shared" si="111"/>
        <v>193500</v>
      </c>
      <c r="J811">
        <f t="shared" si="112"/>
        <v>295700</v>
      </c>
      <c r="K811" s="2">
        <f t="shared" si="113"/>
        <v>2.1499999999999998E-2</v>
      </c>
      <c r="L811" t="str">
        <f t="shared" si="114"/>
        <v>Tier 1</v>
      </c>
    </row>
    <row r="812" spans="1:12" x14ac:dyDescent="0.35">
      <c r="A812" s="1" t="s">
        <v>2589</v>
      </c>
      <c r="B812">
        <v>836</v>
      </c>
      <c r="C812" t="s">
        <v>8</v>
      </c>
      <c r="D812" t="s">
        <v>576</v>
      </c>
      <c r="E812" t="s">
        <v>2590</v>
      </c>
      <c r="F812" t="s">
        <v>2591</v>
      </c>
      <c r="G812" t="s">
        <v>2592</v>
      </c>
      <c r="H812">
        <f t="shared" si="110"/>
        <v>14100000</v>
      </c>
      <c r="I812">
        <f t="shared" si="111"/>
        <v>113000</v>
      </c>
      <c r="J812">
        <f t="shared" si="112"/>
        <v>186300</v>
      </c>
      <c r="K812" s="2">
        <f t="shared" si="113"/>
        <v>8.0141843971631207E-3</v>
      </c>
      <c r="L812" t="str">
        <f t="shared" si="114"/>
        <v>Tier 2</v>
      </c>
    </row>
    <row r="813" spans="1:12" x14ac:dyDescent="0.35">
      <c r="A813" s="1" t="s">
        <v>2593</v>
      </c>
      <c r="B813">
        <v>837</v>
      </c>
      <c r="C813" t="s">
        <v>1280</v>
      </c>
      <c r="D813" t="s">
        <v>699</v>
      </c>
      <c r="E813" t="s">
        <v>22</v>
      </c>
      <c r="F813" t="s">
        <v>1935</v>
      </c>
      <c r="G813" t="s">
        <v>2594</v>
      </c>
      <c r="H813">
        <f t="shared" si="110"/>
        <v>12300000</v>
      </c>
      <c r="I813">
        <f t="shared" si="111"/>
        <v>160800</v>
      </c>
      <c r="J813">
        <f t="shared" si="112"/>
        <v>214200</v>
      </c>
      <c r="K813" s="2">
        <f t="shared" si="113"/>
        <v>1.3073170731707317E-2</v>
      </c>
      <c r="L813" t="str">
        <f t="shared" si="114"/>
        <v>Tier 2</v>
      </c>
    </row>
    <row r="814" spans="1:12" x14ac:dyDescent="0.35">
      <c r="A814" s="1" t="s">
        <v>2595</v>
      </c>
      <c r="B814">
        <v>839</v>
      </c>
      <c r="C814" t="s">
        <v>8</v>
      </c>
      <c r="D814" t="s">
        <v>2019</v>
      </c>
      <c r="E814" t="s">
        <v>279</v>
      </c>
      <c r="F814" t="s">
        <v>2596</v>
      </c>
      <c r="G814" t="s">
        <v>1835</v>
      </c>
      <c r="H814">
        <f t="shared" si="110"/>
        <v>14500000</v>
      </c>
      <c r="I814">
        <f t="shared" si="111"/>
        <v>116500</v>
      </c>
      <c r="J814">
        <f t="shared" si="112"/>
        <v>178900</v>
      </c>
      <c r="K814" s="2">
        <f t="shared" si="113"/>
        <v>8.0344827586206896E-3</v>
      </c>
      <c r="L814" t="str">
        <f t="shared" si="114"/>
        <v>Tier 2</v>
      </c>
    </row>
    <row r="815" spans="1:12" x14ac:dyDescent="0.35">
      <c r="A815" s="1" t="s">
        <v>2597</v>
      </c>
      <c r="B815">
        <v>840</v>
      </c>
      <c r="D815" t="s">
        <v>1831</v>
      </c>
      <c r="E815" t="s">
        <v>22</v>
      </c>
      <c r="F815" t="s">
        <v>2598</v>
      </c>
      <c r="G815" t="s">
        <v>2599</v>
      </c>
      <c r="H815">
        <f t="shared" si="110"/>
        <v>6100000</v>
      </c>
      <c r="I815">
        <f t="shared" si="111"/>
        <v>299700</v>
      </c>
      <c r="J815">
        <f t="shared" si="112"/>
        <v>431500</v>
      </c>
      <c r="K815" s="2">
        <f t="shared" si="113"/>
        <v>4.9131147540983605E-2</v>
      </c>
      <c r="L815" t="str">
        <f t="shared" si="114"/>
        <v>Tier 1</v>
      </c>
    </row>
    <row r="816" spans="1:12" x14ac:dyDescent="0.35">
      <c r="A816" s="1" t="s">
        <v>2600</v>
      </c>
      <c r="B816">
        <v>841</v>
      </c>
      <c r="C816" t="s">
        <v>590</v>
      </c>
      <c r="D816" t="s">
        <v>2601</v>
      </c>
      <c r="E816" t="s">
        <v>22</v>
      </c>
      <c r="F816" t="s">
        <v>2602</v>
      </c>
      <c r="G816" t="s">
        <v>2603</v>
      </c>
      <c r="H816">
        <f t="shared" si="110"/>
        <v>123700000</v>
      </c>
      <c r="I816">
        <f t="shared" si="111"/>
        <v>20600</v>
      </c>
      <c r="J816">
        <f t="shared" si="112"/>
        <v>21100</v>
      </c>
      <c r="K816" s="2">
        <f t="shared" si="113"/>
        <v>1.6653193209377527E-4</v>
      </c>
      <c r="L816" t="str">
        <f t="shared" si="114"/>
        <v>Tier 4</v>
      </c>
    </row>
    <row r="817" spans="1:12" x14ac:dyDescent="0.35">
      <c r="A817" s="1" t="s">
        <v>2604</v>
      </c>
      <c r="B817">
        <v>842</v>
      </c>
      <c r="D817" t="s">
        <v>1260</v>
      </c>
      <c r="E817" t="s">
        <v>22</v>
      </c>
      <c r="F817" t="s">
        <v>2605</v>
      </c>
      <c r="G817" t="s">
        <v>2515</v>
      </c>
      <c r="H817">
        <f t="shared" si="110"/>
        <v>8100000</v>
      </c>
      <c r="I817">
        <f t="shared" si="111"/>
        <v>204900</v>
      </c>
      <c r="J817">
        <f t="shared" si="112"/>
        <v>323200</v>
      </c>
      <c r="K817" s="2">
        <f t="shared" si="113"/>
        <v>2.5296296296296296E-2</v>
      </c>
      <c r="L817" t="str">
        <f t="shared" si="114"/>
        <v>Tier 1</v>
      </c>
    </row>
    <row r="818" spans="1:12" x14ac:dyDescent="0.35">
      <c r="A818" s="1" t="s">
        <v>2606</v>
      </c>
      <c r="B818">
        <v>843</v>
      </c>
      <c r="C818" t="s">
        <v>546</v>
      </c>
      <c r="D818" t="s">
        <v>1517</v>
      </c>
      <c r="E818" t="s">
        <v>22</v>
      </c>
      <c r="F818" t="s">
        <v>2607</v>
      </c>
      <c r="G818" t="s">
        <v>2608</v>
      </c>
      <c r="H818">
        <f t="shared" si="110"/>
        <v>7400000</v>
      </c>
      <c r="I818">
        <f t="shared" si="111"/>
        <v>218900</v>
      </c>
      <c r="J818">
        <f t="shared" si="112"/>
        <v>353700</v>
      </c>
      <c r="K818" s="2">
        <f t="shared" si="113"/>
        <v>2.9581081081081081E-2</v>
      </c>
      <c r="L818" t="str">
        <f t="shared" si="114"/>
        <v>Tier 1</v>
      </c>
    </row>
    <row r="819" spans="1:12" hidden="1" x14ac:dyDescent="0.35">
      <c r="A819" s="1" t="s">
        <v>2609</v>
      </c>
      <c r="B819">
        <v>844</v>
      </c>
      <c r="D819" t="s">
        <v>39</v>
      </c>
      <c r="F819">
        <v>0</v>
      </c>
      <c r="G819" t="s">
        <v>90</v>
      </c>
      <c r="K819"/>
    </row>
    <row r="820" spans="1:12" x14ac:dyDescent="0.35">
      <c r="A820" s="1" t="s">
        <v>2610</v>
      </c>
      <c r="B820">
        <v>845</v>
      </c>
      <c r="C820" t="s">
        <v>26</v>
      </c>
      <c r="D820" t="s">
        <v>352</v>
      </c>
      <c r="E820" t="s">
        <v>58</v>
      </c>
      <c r="F820" t="s">
        <v>1817</v>
      </c>
      <c r="G820" t="s">
        <v>1950</v>
      </c>
      <c r="H820">
        <f t="shared" ref="H820:H883" si="115">IF(RIGHT(D820,1)="M", VALUE(SUBSTITUTE(D820,"M",""))*1000000, VALUE(SUBSTITUTE(D820,"K",""))*1000)</f>
        <v>9600000</v>
      </c>
      <c r="I820">
        <f t="shared" ref="I820:I883" si="116">IF(RIGHT(F820,1)="M", VALUE(SUBSTITUTE(F820,"M",""))*1000000, VALUE(SUBSTITUTE(F820,"K",""))*1000)</f>
        <v>240100</v>
      </c>
      <c r="J820">
        <f t="shared" ref="J820:J883" si="117">IF(RIGHT(G820,1)="M", VALUE(SUBSTITUTE(G820,"M",""))*1000000, VALUE(SUBSTITUTE(G820,"K",""))*1000)</f>
        <v>269600</v>
      </c>
      <c r="K820" s="2">
        <f t="shared" ref="K820:K883" si="118">I820/H820</f>
        <v>2.5010416666666667E-2</v>
      </c>
      <c r="L820" t="str">
        <f t="shared" ref="L820:L883" si="119">IF(H820&lt;10000000,"Tier 1",
 IF(H820&lt;50000000,"Tier 2",
 IF(H820&lt;100000000,"Tier 3",
 "Tier 4")))</f>
        <v>Tier 1</v>
      </c>
    </row>
    <row r="821" spans="1:12" x14ac:dyDescent="0.35">
      <c r="A821" s="1" t="s">
        <v>2611</v>
      </c>
      <c r="B821">
        <v>846</v>
      </c>
      <c r="C821" t="s">
        <v>26</v>
      </c>
      <c r="D821" t="s">
        <v>506</v>
      </c>
      <c r="E821" t="s">
        <v>42</v>
      </c>
      <c r="F821" t="s">
        <v>2612</v>
      </c>
      <c r="G821" t="s">
        <v>2072</v>
      </c>
      <c r="H821">
        <f t="shared" si="115"/>
        <v>27400000</v>
      </c>
      <c r="I821">
        <f t="shared" si="116"/>
        <v>64700</v>
      </c>
      <c r="J821">
        <f t="shared" si="117"/>
        <v>95800</v>
      </c>
      <c r="K821" s="2">
        <f t="shared" si="118"/>
        <v>2.3613138686131387E-3</v>
      </c>
      <c r="L821" t="str">
        <f t="shared" si="119"/>
        <v>Tier 2</v>
      </c>
    </row>
    <row r="822" spans="1:12" x14ac:dyDescent="0.35">
      <c r="A822" s="1" t="s">
        <v>2613</v>
      </c>
      <c r="B822">
        <v>847</v>
      </c>
      <c r="C822" t="s">
        <v>2614</v>
      </c>
      <c r="D822" t="s">
        <v>645</v>
      </c>
      <c r="E822" t="s">
        <v>10</v>
      </c>
      <c r="F822" t="s">
        <v>1696</v>
      </c>
      <c r="G822" t="s">
        <v>2421</v>
      </c>
      <c r="H822">
        <f t="shared" si="115"/>
        <v>24300000</v>
      </c>
      <c r="I822">
        <f t="shared" si="116"/>
        <v>87300</v>
      </c>
      <c r="J822">
        <f t="shared" si="117"/>
        <v>105700</v>
      </c>
      <c r="K822" s="2">
        <f t="shared" si="118"/>
        <v>3.5925925925925925E-3</v>
      </c>
      <c r="L822" t="str">
        <f t="shared" si="119"/>
        <v>Tier 2</v>
      </c>
    </row>
    <row r="823" spans="1:12" x14ac:dyDescent="0.35">
      <c r="A823" s="1" t="s">
        <v>2615</v>
      </c>
      <c r="B823">
        <v>848</v>
      </c>
      <c r="C823" t="s">
        <v>310</v>
      </c>
      <c r="D823" t="s">
        <v>118</v>
      </c>
      <c r="E823" t="s">
        <v>10</v>
      </c>
      <c r="F823" t="s">
        <v>2616</v>
      </c>
      <c r="G823" t="s">
        <v>2617</v>
      </c>
      <c r="H823">
        <f t="shared" si="115"/>
        <v>6000000</v>
      </c>
      <c r="I823">
        <f t="shared" si="116"/>
        <v>342500</v>
      </c>
      <c r="J823">
        <f t="shared" si="117"/>
        <v>433600</v>
      </c>
      <c r="K823" s="2">
        <f t="shared" si="118"/>
        <v>5.7083333333333333E-2</v>
      </c>
      <c r="L823" t="str">
        <f t="shared" si="119"/>
        <v>Tier 1</v>
      </c>
    </row>
    <row r="824" spans="1:12" x14ac:dyDescent="0.35">
      <c r="A824" s="1" t="s">
        <v>2618</v>
      </c>
      <c r="B824">
        <v>849</v>
      </c>
      <c r="C824" t="s">
        <v>1062</v>
      </c>
      <c r="D824" t="s">
        <v>63</v>
      </c>
      <c r="E824" t="s">
        <v>195</v>
      </c>
      <c r="F824" t="s">
        <v>2619</v>
      </c>
      <c r="G824" t="s">
        <v>2270</v>
      </c>
      <c r="H824">
        <f t="shared" si="115"/>
        <v>7000000</v>
      </c>
      <c r="I824">
        <f t="shared" si="116"/>
        <v>303500</v>
      </c>
      <c r="J824">
        <f t="shared" si="117"/>
        <v>374400</v>
      </c>
      <c r="K824" s="2">
        <f t="shared" si="118"/>
        <v>4.3357142857142858E-2</v>
      </c>
      <c r="L824" t="str">
        <f t="shared" si="119"/>
        <v>Tier 1</v>
      </c>
    </row>
    <row r="825" spans="1:12" x14ac:dyDescent="0.35">
      <c r="A825" s="1" t="s">
        <v>2620</v>
      </c>
      <c r="B825">
        <v>850</v>
      </c>
      <c r="C825" t="s">
        <v>69</v>
      </c>
      <c r="D825" t="s">
        <v>11</v>
      </c>
      <c r="E825" t="s">
        <v>58</v>
      </c>
      <c r="F825" t="s">
        <v>2621</v>
      </c>
      <c r="G825" t="s">
        <v>2622</v>
      </c>
      <c r="H825">
        <f t="shared" si="115"/>
        <v>5500000</v>
      </c>
      <c r="I825">
        <f t="shared" si="116"/>
        <v>364200</v>
      </c>
      <c r="J825">
        <f t="shared" si="117"/>
        <v>465300</v>
      </c>
      <c r="K825" s="2">
        <f t="shared" si="118"/>
        <v>6.6218181818181815E-2</v>
      </c>
      <c r="L825" t="str">
        <f t="shared" si="119"/>
        <v>Tier 1</v>
      </c>
    </row>
    <row r="826" spans="1:12" x14ac:dyDescent="0.35">
      <c r="A826" s="1" t="s">
        <v>2623</v>
      </c>
      <c r="B826">
        <v>858</v>
      </c>
      <c r="C826" t="s">
        <v>76</v>
      </c>
      <c r="D826" t="s">
        <v>115</v>
      </c>
      <c r="E826" t="s">
        <v>2624</v>
      </c>
      <c r="F826" t="s">
        <v>2625</v>
      </c>
      <c r="G826" t="s">
        <v>1728</v>
      </c>
      <c r="H826">
        <f t="shared" si="115"/>
        <v>6900000</v>
      </c>
      <c r="I826">
        <f t="shared" si="116"/>
        <v>279900</v>
      </c>
      <c r="J826">
        <f t="shared" si="117"/>
        <v>370600</v>
      </c>
      <c r="K826" s="2">
        <f t="shared" si="118"/>
        <v>4.0565217391304351E-2</v>
      </c>
      <c r="L826" t="str">
        <f t="shared" si="119"/>
        <v>Tier 1</v>
      </c>
    </row>
    <row r="827" spans="1:12" x14ac:dyDescent="0.35">
      <c r="A827" s="1" t="s">
        <v>2626</v>
      </c>
      <c r="B827">
        <v>859</v>
      </c>
      <c r="C827" t="s">
        <v>8</v>
      </c>
      <c r="D827" t="s">
        <v>1347</v>
      </c>
      <c r="E827" t="s">
        <v>58</v>
      </c>
      <c r="F827" t="s">
        <v>2627</v>
      </c>
      <c r="G827" t="s">
        <v>2628</v>
      </c>
      <c r="H827">
        <f t="shared" si="115"/>
        <v>34800000</v>
      </c>
      <c r="I827">
        <f t="shared" si="116"/>
        <v>48900</v>
      </c>
      <c r="J827">
        <f t="shared" si="117"/>
        <v>72700</v>
      </c>
      <c r="K827" s="2">
        <f t="shared" si="118"/>
        <v>1.4051724137931034E-3</v>
      </c>
      <c r="L827" t="str">
        <f t="shared" si="119"/>
        <v>Tier 2</v>
      </c>
    </row>
    <row r="828" spans="1:12" x14ac:dyDescent="0.35">
      <c r="A828" s="1" t="s">
        <v>2629</v>
      </c>
      <c r="B828">
        <v>860</v>
      </c>
      <c r="C828" t="s">
        <v>26</v>
      </c>
      <c r="D828" t="s">
        <v>594</v>
      </c>
      <c r="E828" t="s">
        <v>42</v>
      </c>
      <c r="F828" t="s">
        <v>2630</v>
      </c>
      <c r="G828" t="s">
        <v>2631</v>
      </c>
      <c r="H828">
        <f t="shared" si="115"/>
        <v>15900000</v>
      </c>
      <c r="I828">
        <f t="shared" si="116"/>
        <v>95900</v>
      </c>
      <c r="J828">
        <f t="shared" si="117"/>
        <v>158300</v>
      </c>
      <c r="K828" s="2">
        <f t="shared" si="118"/>
        <v>6.0314465408805029E-3</v>
      </c>
      <c r="L828" t="str">
        <f t="shared" si="119"/>
        <v>Tier 2</v>
      </c>
    </row>
    <row r="829" spans="1:12" x14ac:dyDescent="0.35">
      <c r="A829" s="1" t="s">
        <v>2632</v>
      </c>
      <c r="B829">
        <v>861</v>
      </c>
      <c r="C829" t="s">
        <v>76</v>
      </c>
      <c r="D829" t="s">
        <v>2509</v>
      </c>
      <c r="E829" t="s">
        <v>42</v>
      </c>
      <c r="F829" t="s">
        <v>2037</v>
      </c>
      <c r="G829" t="s">
        <v>2633</v>
      </c>
      <c r="H829">
        <f t="shared" si="115"/>
        <v>6800000</v>
      </c>
      <c r="I829">
        <f t="shared" si="116"/>
        <v>147900</v>
      </c>
      <c r="J829">
        <f t="shared" si="117"/>
        <v>379400</v>
      </c>
      <c r="K829" s="2">
        <f t="shared" si="118"/>
        <v>2.1749999999999999E-2</v>
      </c>
      <c r="L829" t="str">
        <f t="shared" si="119"/>
        <v>Tier 1</v>
      </c>
    </row>
    <row r="830" spans="1:12" x14ac:dyDescent="0.35">
      <c r="A830" s="1" t="s">
        <v>2634</v>
      </c>
      <c r="B830">
        <v>862</v>
      </c>
      <c r="C830" t="s">
        <v>834</v>
      </c>
      <c r="D830" t="s">
        <v>588</v>
      </c>
      <c r="E830" t="s">
        <v>195</v>
      </c>
      <c r="F830" t="s">
        <v>2635</v>
      </c>
      <c r="G830" t="s">
        <v>1922</v>
      </c>
      <c r="H830">
        <f t="shared" si="115"/>
        <v>9800000</v>
      </c>
      <c r="I830">
        <f t="shared" si="116"/>
        <v>213800</v>
      </c>
      <c r="J830">
        <f t="shared" si="117"/>
        <v>262400</v>
      </c>
      <c r="K830" s="2">
        <f t="shared" si="118"/>
        <v>2.1816326530612246E-2</v>
      </c>
      <c r="L830" t="str">
        <f t="shared" si="119"/>
        <v>Tier 1</v>
      </c>
    </row>
    <row r="831" spans="1:12" x14ac:dyDescent="0.35">
      <c r="A831" s="1" t="s">
        <v>2636</v>
      </c>
      <c r="B831">
        <v>863</v>
      </c>
      <c r="C831" t="s">
        <v>8</v>
      </c>
      <c r="D831" t="s">
        <v>352</v>
      </c>
      <c r="E831" t="s">
        <v>279</v>
      </c>
      <c r="F831" t="s">
        <v>2637</v>
      </c>
      <c r="G831" t="s">
        <v>763</v>
      </c>
      <c r="H831">
        <f t="shared" si="115"/>
        <v>9600000</v>
      </c>
      <c r="I831">
        <f t="shared" si="116"/>
        <v>205300</v>
      </c>
      <c r="J831">
        <f t="shared" si="117"/>
        <v>265400</v>
      </c>
      <c r="K831" s="2">
        <f t="shared" si="118"/>
        <v>2.1385416666666667E-2</v>
      </c>
      <c r="L831" t="str">
        <f t="shared" si="119"/>
        <v>Tier 1</v>
      </c>
    </row>
    <row r="832" spans="1:12" x14ac:dyDescent="0.35">
      <c r="A832" s="1" t="s">
        <v>2638</v>
      </c>
      <c r="B832">
        <v>864</v>
      </c>
      <c r="C832" t="s">
        <v>26</v>
      </c>
      <c r="D832" t="s">
        <v>744</v>
      </c>
      <c r="E832" t="s">
        <v>141</v>
      </c>
      <c r="F832" t="s">
        <v>2639</v>
      </c>
      <c r="G832" t="s">
        <v>2640</v>
      </c>
      <c r="H832">
        <f t="shared" si="115"/>
        <v>15500000</v>
      </c>
      <c r="I832">
        <f t="shared" si="116"/>
        <v>113600</v>
      </c>
      <c r="J832">
        <f t="shared" si="117"/>
        <v>162800</v>
      </c>
      <c r="K832" s="2">
        <f t="shared" si="118"/>
        <v>7.329032258064516E-3</v>
      </c>
      <c r="L832" t="str">
        <f t="shared" si="119"/>
        <v>Tier 2</v>
      </c>
    </row>
    <row r="833" spans="1:12" x14ac:dyDescent="0.35">
      <c r="A833" s="1" t="s">
        <v>2641</v>
      </c>
      <c r="B833">
        <v>865</v>
      </c>
      <c r="C833" t="s">
        <v>1193</v>
      </c>
      <c r="D833" t="s">
        <v>437</v>
      </c>
      <c r="E833" t="s">
        <v>22</v>
      </c>
      <c r="F833" t="s">
        <v>2642</v>
      </c>
      <c r="G833" t="s">
        <v>2643</v>
      </c>
      <c r="H833">
        <f t="shared" si="115"/>
        <v>19000000</v>
      </c>
      <c r="I833">
        <f t="shared" si="116"/>
        <v>102000</v>
      </c>
      <c r="J833">
        <f t="shared" si="117"/>
        <v>131200</v>
      </c>
      <c r="K833" s="2">
        <f t="shared" si="118"/>
        <v>5.3684210526315787E-3</v>
      </c>
      <c r="L833" t="str">
        <f t="shared" si="119"/>
        <v>Tier 2</v>
      </c>
    </row>
    <row r="834" spans="1:12" x14ac:dyDescent="0.35">
      <c r="A834" s="1" t="s">
        <v>2644</v>
      </c>
      <c r="B834">
        <v>866</v>
      </c>
      <c r="C834" t="s">
        <v>69</v>
      </c>
      <c r="D834" t="s">
        <v>311</v>
      </c>
      <c r="E834" t="s">
        <v>10</v>
      </c>
      <c r="F834" t="s">
        <v>2645</v>
      </c>
      <c r="G834" t="s">
        <v>2333</v>
      </c>
      <c r="H834">
        <f t="shared" si="115"/>
        <v>14400000</v>
      </c>
      <c r="I834">
        <f t="shared" si="116"/>
        <v>151500</v>
      </c>
      <c r="J834">
        <f t="shared" si="117"/>
        <v>172800</v>
      </c>
      <c r="K834" s="2">
        <f t="shared" si="118"/>
        <v>1.0520833333333333E-2</v>
      </c>
      <c r="L834" t="str">
        <f t="shared" si="119"/>
        <v>Tier 2</v>
      </c>
    </row>
    <row r="835" spans="1:12" x14ac:dyDescent="0.35">
      <c r="A835" s="1" t="s">
        <v>2646</v>
      </c>
      <c r="B835">
        <v>867</v>
      </c>
      <c r="C835" t="s">
        <v>834</v>
      </c>
      <c r="D835" t="s">
        <v>60</v>
      </c>
      <c r="E835" t="s">
        <v>519</v>
      </c>
      <c r="F835" t="s">
        <v>2647</v>
      </c>
      <c r="G835" t="s">
        <v>2648</v>
      </c>
      <c r="H835">
        <f t="shared" si="115"/>
        <v>7300000</v>
      </c>
      <c r="I835">
        <f t="shared" si="116"/>
        <v>277100</v>
      </c>
      <c r="J835">
        <f t="shared" si="117"/>
        <v>350100</v>
      </c>
      <c r="K835" s="2">
        <f t="shared" si="118"/>
        <v>3.7958904109589041E-2</v>
      </c>
      <c r="L835" t="str">
        <f t="shared" si="119"/>
        <v>Tier 1</v>
      </c>
    </row>
    <row r="836" spans="1:12" x14ac:dyDescent="0.35">
      <c r="A836" s="1" t="s">
        <v>2649</v>
      </c>
      <c r="B836">
        <v>869</v>
      </c>
      <c r="C836" t="s">
        <v>542</v>
      </c>
      <c r="D836" t="s">
        <v>43</v>
      </c>
      <c r="E836" t="s">
        <v>10</v>
      </c>
      <c r="F836" t="s">
        <v>2650</v>
      </c>
      <c r="G836" t="s">
        <v>2651</v>
      </c>
      <c r="H836">
        <f t="shared" si="115"/>
        <v>3200000</v>
      </c>
      <c r="I836">
        <f t="shared" si="116"/>
        <v>677000</v>
      </c>
      <c r="J836">
        <f t="shared" si="117"/>
        <v>777000</v>
      </c>
      <c r="K836" s="2">
        <f t="shared" si="118"/>
        <v>0.21156249999999999</v>
      </c>
      <c r="L836" t="str">
        <f t="shared" si="119"/>
        <v>Tier 1</v>
      </c>
    </row>
    <row r="837" spans="1:12" x14ac:dyDescent="0.35">
      <c r="A837" s="1" t="s">
        <v>2652</v>
      </c>
      <c r="B837">
        <v>870</v>
      </c>
      <c r="C837" t="s">
        <v>305</v>
      </c>
      <c r="D837" t="s">
        <v>2653</v>
      </c>
      <c r="E837" t="s">
        <v>42</v>
      </c>
      <c r="F837" t="s">
        <v>2654</v>
      </c>
      <c r="G837" t="s">
        <v>2655</v>
      </c>
      <c r="H837">
        <f t="shared" si="115"/>
        <v>25300000</v>
      </c>
      <c r="I837">
        <f t="shared" si="116"/>
        <v>67200</v>
      </c>
      <c r="J837">
        <f t="shared" si="117"/>
        <v>97800</v>
      </c>
      <c r="K837" s="2">
        <f t="shared" si="118"/>
        <v>2.6561264822134389E-3</v>
      </c>
      <c r="L837" t="str">
        <f t="shared" si="119"/>
        <v>Tier 2</v>
      </c>
    </row>
    <row r="838" spans="1:12" x14ac:dyDescent="0.35">
      <c r="A838" s="1" t="s">
        <v>2656</v>
      </c>
      <c r="B838">
        <v>871</v>
      </c>
      <c r="C838" t="s">
        <v>8</v>
      </c>
      <c r="D838" t="s">
        <v>2657</v>
      </c>
      <c r="E838" t="s">
        <v>22</v>
      </c>
      <c r="F838" t="s">
        <v>2447</v>
      </c>
      <c r="G838" t="s">
        <v>2658</v>
      </c>
      <c r="H838">
        <f t="shared" si="115"/>
        <v>19300000</v>
      </c>
      <c r="I838">
        <f t="shared" si="116"/>
        <v>64800</v>
      </c>
      <c r="J838">
        <f t="shared" si="117"/>
        <v>128400</v>
      </c>
      <c r="K838" s="2">
        <f t="shared" si="118"/>
        <v>3.3575129533678755E-3</v>
      </c>
      <c r="L838" t="str">
        <f t="shared" si="119"/>
        <v>Tier 2</v>
      </c>
    </row>
    <row r="839" spans="1:12" x14ac:dyDescent="0.35">
      <c r="A839" s="1" t="s">
        <v>2659</v>
      </c>
      <c r="B839">
        <v>872</v>
      </c>
      <c r="C839" t="s">
        <v>50</v>
      </c>
      <c r="D839" t="s">
        <v>2660</v>
      </c>
      <c r="E839" t="s">
        <v>22</v>
      </c>
      <c r="F839" t="s">
        <v>2345</v>
      </c>
      <c r="G839" t="s">
        <v>2661</v>
      </c>
      <c r="H839">
        <f t="shared" si="115"/>
        <v>12700000</v>
      </c>
      <c r="I839">
        <f t="shared" si="116"/>
        <v>137900</v>
      </c>
      <c r="J839">
        <f t="shared" si="117"/>
        <v>193200</v>
      </c>
      <c r="K839" s="2">
        <f t="shared" si="118"/>
        <v>1.0858267716535433E-2</v>
      </c>
      <c r="L839" t="str">
        <f t="shared" si="119"/>
        <v>Tier 2</v>
      </c>
    </row>
    <row r="840" spans="1:12" x14ac:dyDescent="0.35">
      <c r="A840" s="1" t="s">
        <v>2662</v>
      </c>
      <c r="B840">
        <v>873</v>
      </c>
      <c r="C840" t="s">
        <v>214</v>
      </c>
      <c r="D840" t="s">
        <v>620</v>
      </c>
      <c r="E840" t="s">
        <v>10</v>
      </c>
      <c r="F840" t="s">
        <v>2663</v>
      </c>
      <c r="G840" t="s">
        <v>2664</v>
      </c>
      <c r="H840">
        <f t="shared" si="115"/>
        <v>8500000</v>
      </c>
      <c r="I840">
        <f t="shared" si="116"/>
        <v>246400</v>
      </c>
      <c r="J840">
        <f t="shared" si="117"/>
        <v>293800</v>
      </c>
      <c r="K840" s="2">
        <f t="shared" si="118"/>
        <v>2.8988235294117648E-2</v>
      </c>
      <c r="L840" t="str">
        <f t="shared" si="119"/>
        <v>Tier 1</v>
      </c>
    </row>
    <row r="841" spans="1:12" x14ac:dyDescent="0.35">
      <c r="A841" s="1" t="s">
        <v>2665</v>
      </c>
      <c r="B841">
        <v>874</v>
      </c>
      <c r="C841" t="s">
        <v>8</v>
      </c>
      <c r="D841" t="s">
        <v>110</v>
      </c>
      <c r="E841" t="s">
        <v>1102</v>
      </c>
      <c r="F841" t="s">
        <v>2666</v>
      </c>
      <c r="G841" t="s">
        <v>2667</v>
      </c>
      <c r="H841">
        <f t="shared" si="115"/>
        <v>4000000</v>
      </c>
      <c r="I841">
        <f t="shared" si="116"/>
        <v>414400</v>
      </c>
      <c r="J841">
        <f t="shared" si="117"/>
        <v>622500</v>
      </c>
      <c r="K841" s="2">
        <f t="shared" si="118"/>
        <v>0.1036</v>
      </c>
      <c r="L841" t="str">
        <f t="shared" si="119"/>
        <v>Tier 1</v>
      </c>
    </row>
    <row r="842" spans="1:12" x14ac:dyDescent="0.35">
      <c r="A842" s="1" t="s">
        <v>2668</v>
      </c>
      <c r="B842">
        <v>875</v>
      </c>
      <c r="C842" t="s">
        <v>157</v>
      </c>
      <c r="D842" t="s">
        <v>2669</v>
      </c>
      <c r="E842" t="s">
        <v>42</v>
      </c>
      <c r="F842" t="s">
        <v>2670</v>
      </c>
      <c r="G842" t="s">
        <v>2671</v>
      </c>
      <c r="H842">
        <f t="shared" si="115"/>
        <v>22000000</v>
      </c>
      <c r="I842">
        <f t="shared" si="116"/>
        <v>81100</v>
      </c>
      <c r="J842">
        <f t="shared" si="117"/>
        <v>111600</v>
      </c>
      <c r="K842" s="2">
        <f t="shared" si="118"/>
        <v>3.6863636363636365E-3</v>
      </c>
      <c r="L842" t="str">
        <f t="shared" si="119"/>
        <v>Tier 2</v>
      </c>
    </row>
    <row r="843" spans="1:12" x14ac:dyDescent="0.35">
      <c r="A843" s="1" t="s">
        <v>2672</v>
      </c>
      <c r="B843">
        <v>876</v>
      </c>
      <c r="C843" t="s">
        <v>8</v>
      </c>
      <c r="D843" t="s">
        <v>59</v>
      </c>
      <c r="E843" t="s">
        <v>279</v>
      </c>
      <c r="F843" t="s">
        <v>2673</v>
      </c>
      <c r="G843" t="s">
        <v>2674</v>
      </c>
      <c r="H843">
        <f t="shared" si="115"/>
        <v>6300000</v>
      </c>
      <c r="I843">
        <f t="shared" si="116"/>
        <v>278800</v>
      </c>
      <c r="J843">
        <f t="shared" si="117"/>
        <v>395000</v>
      </c>
      <c r="K843" s="2">
        <f t="shared" si="118"/>
        <v>4.4253968253968254E-2</v>
      </c>
      <c r="L843" t="str">
        <f t="shared" si="119"/>
        <v>Tier 1</v>
      </c>
    </row>
    <row r="844" spans="1:12" x14ac:dyDescent="0.35">
      <c r="A844" s="1" t="s">
        <v>2675</v>
      </c>
      <c r="B844">
        <v>878</v>
      </c>
      <c r="C844" t="s">
        <v>2676</v>
      </c>
      <c r="D844" t="s">
        <v>1362</v>
      </c>
      <c r="E844" t="s">
        <v>10</v>
      </c>
      <c r="F844" t="s">
        <v>2677</v>
      </c>
      <c r="G844" t="s">
        <v>2678</v>
      </c>
      <c r="H844">
        <f t="shared" si="115"/>
        <v>16200000</v>
      </c>
      <c r="I844">
        <f t="shared" si="116"/>
        <v>124300</v>
      </c>
      <c r="J844">
        <f t="shared" si="117"/>
        <v>150000</v>
      </c>
      <c r="K844" s="2">
        <f t="shared" si="118"/>
        <v>7.6728395061728396E-3</v>
      </c>
      <c r="L844" t="str">
        <f t="shared" si="119"/>
        <v>Tier 2</v>
      </c>
    </row>
    <row r="845" spans="1:12" x14ac:dyDescent="0.35">
      <c r="A845" s="1" t="s">
        <v>2679</v>
      </c>
      <c r="B845">
        <v>879</v>
      </c>
      <c r="C845" t="s">
        <v>8</v>
      </c>
      <c r="D845" t="s">
        <v>81</v>
      </c>
      <c r="E845" t="s">
        <v>42</v>
      </c>
      <c r="F845" t="s">
        <v>2680</v>
      </c>
      <c r="G845" t="s">
        <v>2681</v>
      </c>
      <c r="H845">
        <f t="shared" si="115"/>
        <v>9900000</v>
      </c>
      <c r="I845">
        <f t="shared" si="116"/>
        <v>167000</v>
      </c>
      <c r="J845">
        <f t="shared" si="117"/>
        <v>252500</v>
      </c>
      <c r="K845" s="2">
        <f t="shared" si="118"/>
        <v>1.686868686868687E-2</v>
      </c>
      <c r="L845" t="str">
        <f t="shared" si="119"/>
        <v>Tier 1</v>
      </c>
    </row>
    <row r="846" spans="1:12" x14ac:dyDescent="0.35">
      <c r="A846" s="1" t="s">
        <v>2682</v>
      </c>
      <c r="B846">
        <v>880</v>
      </c>
      <c r="C846" t="s">
        <v>69</v>
      </c>
      <c r="D846" t="s">
        <v>1886</v>
      </c>
      <c r="E846" t="s">
        <v>22</v>
      </c>
      <c r="F846" t="s">
        <v>2683</v>
      </c>
      <c r="G846" t="s">
        <v>2289</v>
      </c>
      <c r="H846">
        <f t="shared" si="115"/>
        <v>11300000</v>
      </c>
      <c r="I846">
        <f t="shared" si="116"/>
        <v>185800</v>
      </c>
      <c r="J846">
        <f t="shared" si="117"/>
        <v>214400</v>
      </c>
      <c r="K846" s="2">
        <f t="shared" si="118"/>
        <v>1.6442477876106195E-2</v>
      </c>
      <c r="L846" t="str">
        <f t="shared" si="119"/>
        <v>Tier 2</v>
      </c>
    </row>
    <row r="847" spans="1:12" x14ac:dyDescent="0.35">
      <c r="A847" s="1" t="s">
        <v>2684</v>
      </c>
      <c r="B847">
        <v>881</v>
      </c>
      <c r="C847" t="s">
        <v>26</v>
      </c>
      <c r="D847" t="s">
        <v>2472</v>
      </c>
      <c r="E847" t="s">
        <v>141</v>
      </c>
      <c r="F847" t="s">
        <v>1323</v>
      </c>
      <c r="G847" t="s">
        <v>2390</v>
      </c>
      <c r="H847">
        <f t="shared" si="115"/>
        <v>7500000</v>
      </c>
      <c r="I847">
        <f t="shared" si="116"/>
        <v>272400</v>
      </c>
      <c r="J847">
        <f t="shared" si="117"/>
        <v>328000</v>
      </c>
      <c r="K847" s="2">
        <f t="shared" si="118"/>
        <v>3.6319999999999998E-2</v>
      </c>
      <c r="L847" t="str">
        <f t="shared" si="119"/>
        <v>Tier 1</v>
      </c>
    </row>
    <row r="848" spans="1:12" x14ac:dyDescent="0.35">
      <c r="A848" s="1" t="s">
        <v>2685</v>
      </c>
      <c r="B848">
        <v>882</v>
      </c>
      <c r="C848" t="s">
        <v>834</v>
      </c>
      <c r="D848" t="s">
        <v>2329</v>
      </c>
      <c r="E848" t="s">
        <v>42</v>
      </c>
      <c r="F848" t="s">
        <v>2686</v>
      </c>
      <c r="G848" t="s">
        <v>2529</v>
      </c>
      <c r="H848">
        <f t="shared" si="115"/>
        <v>11900000</v>
      </c>
      <c r="I848">
        <f t="shared" si="116"/>
        <v>161500</v>
      </c>
      <c r="J848">
        <f t="shared" si="117"/>
        <v>202800</v>
      </c>
      <c r="K848" s="2">
        <f t="shared" si="118"/>
        <v>1.3571428571428571E-2</v>
      </c>
      <c r="L848" t="str">
        <f t="shared" si="119"/>
        <v>Tier 2</v>
      </c>
    </row>
    <row r="849" spans="1:12" x14ac:dyDescent="0.35">
      <c r="A849" s="1" t="s">
        <v>2687</v>
      </c>
      <c r="B849">
        <v>883</v>
      </c>
      <c r="C849" t="s">
        <v>2540</v>
      </c>
      <c r="D849" t="s">
        <v>1058</v>
      </c>
      <c r="E849" t="s">
        <v>141</v>
      </c>
      <c r="F849" t="s">
        <v>2688</v>
      </c>
      <c r="G849" t="s">
        <v>2689</v>
      </c>
      <c r="H849">
        <f t="shared" si="115"/>
        <v>14800000</v>
      </c>
      <c r="I849">
        <f t="shared" si="116"/>
        <v>128199.99999999999</v>
      </c>
      <c r="J849">
        <f t="shared" si="117"/>
        <v>163000</v>
      </c>
      <c r="K849" s="2">
        <f t="shared" si="118"/>
        <v>8.6621621621621615E-3</v>
      </c>
      <c r="L849" t="str">
        <f t="shared" si="119"/>
        <v>Tier 2</v>
      </c>
    </row>
    <row r="850" spans="1:12" x14ac:dyDescent="0.35">
      <c r="A850" s="1" t="s">
        <v>2690</v>
      </c>
      <c r="B850">
        <v>884</v>
      </c>
      <c r="C850" t="s">
        <v>26</v>
      </c>
      <c r="D850" t="s">
        <v>1615</v>
      </c>
      <c r="E850" t="s">
        <v>42</v>
      </c>
      <c r="F850" t="s">
        <v>2691</v>
      </c>
      <c r="G850" t="s">
        <v>2637</v>
      </c>
      <c r="H850">
        <f t="shared" si="115"/>
        <v>11700000</v>
      </c>
      <c r="I850">
        <f t="shared" si="116"/>
        <v>63100</v>
      </c>
      <c r="J850">
        <f t="shared" si="117"/>
        <v>205300</v>
      </c>
      <c r="K850" s="2">
        <f t="shared" si="118"/>
        <v>5.3931623931623932E-3</v>
      </c>
      <c r="L850" t="str">
        <f t="shared" si="119"/>
        <v>Tier 2</v>
      </c>
    </row>
    <row r="851" spans="1:12" x14ac:dyDescent="0.35">
      <c r="A851" s="1" t="s">
        <v>2692</v>
      </c>
      <c r="B851">
        <v>885</v>
      </c>
      <c r="C851" t="s">
        <v>200</v>
      </c>
      <c r="D851" t="s">
        <v>917</v>
      </c>
      <c r="E851" t="s">
        <v>22</v>
      </c>
      <c r="F851" t="s">
        <v>2693</v>
      </c>
      <c r="G851" t="s">
        <v>2694</v>
      </c>
      <c r="H851">
        <f t="shared" si="115"/>
        <v>8000000</v>
      </c>
      <c r="I851">
        <f t="shared" si="116"/>
        <v>174700</v>
      </c>
      <c r="J851">
        <f t="shared" si="117"/>
        <v>309200</v>
      </c>
      <c r="K851" s="2">
        <f t="shared" si="118"/>
        <v>2.1837499999999999E-2</v>
      </c>
      <c r="L851" t="str">
        <f t="shared" si="119"/>
        <v>Tier 1</v>
      </c>
    </row>
    <row r="852" spans="1:12" x14ac:dyDescent="0.35">
      <c r="A852" s="1" t="s">
        <v>2695</v>
      </c>
      <c r="B852">
        <v>886</v>
      </c>
      <c r="C852" t="s">
        <v>2696</v>
      </c>
      <c r="D852" t="s">
        <v>2697</v>
      </c>
      <c r="E852" t="s">
        <v>256</v>
      </c>
      <c r="F852" t="s">
        <v>2698</v>
      </c>
      <c r="G852" t="s">
        <v>2699</v>
      </c>
      <c r="H852">
        <f t="shared" si="115"/>
        <v>15700000</v>
      </c>
      <c r="I852">
        <f t="shared" si="116"/>
        <v>112800</v>
      </c>
      <c r="J852">
        <f t="shared" si="117"/>
        <v>152600</v>
      </c>
      <c r="K852" s="2">
        <f t="shared" si="118"/>
        <v>7.1847133757961786E-3</v>
      </c>
      <c r="L852" t="str">
        <f t="shared" si="119"/>
        <v>Tier 2</v>
      </c>
    </row>
    <row r="853" spans="1:12" x14ac:dyDescent="0.35">
      <c r="A853" s="1" t="s">
        <v>2700</v>
      </c>
      <c r="B853">
        <v>887</v>
      </c>
      <c r="C853" t="s">
        <v>76</v>
      </c>
      <c r="D853" t="s">
        <v>142</v>
      </c>
      <c r="E853" t="s">
        <v>1030</v>
      </c>
      <c r="F853" t="s">
        <v>2701</v>
      </c>
      <c r="G853" t="s">
        <v>2702</v>
      </c>
      <c r="H853">
        <f t="shared" si="115"/>
        <v>3700000</v>
      </c>
      <c r="I853">
        <f t="shared" si="116"/>
        <v>473200</v>
      </c>
      <c r="J853">
        <f t="shared" si="117"/>
        <v>646400</v>
      </c>
      <c r="K853" s="2">
        <f t="shared" si="118"/>
        <v>0.1278918918918919</v>
      </c>
      <c r="L853" t="str">
        <f t="shared" si="119"/>
        <v>Tier 1</v>
      </c>
    </row>
    <row r="854" spans="1:12" x14ac:dyDescent="0.35">
      <c r="A854" s="1" t="s">
        <v>2703</v>
      </c>
      <c r="B854">
        <v>888</v>
      </c>
      <c r="C854" t="s">
        <v>69</v>
      </c>
      <c r="D854" t="s">
        <v>17</v>
      </c>
      <c r="E854" t="s">
        <v>58</v>
      </c>
      <c r="F854" t="s">
        <v>2704</v>
      </c>
      <c r="G854" t="s">
        <v>2705</v>
      </c>
      <c r="H854">
        <f t="shared" si="115"/>
        <v>3600000</v>
      </c>
      <c r="I854">
        <f t="shared" si="116"/>
        <v>542900</v>
      </c>
      <c r="J854">
        <f t="shared" si="117"/>
        <v>669300</v>
      </c>
      <c r="K854" s="2">
        <f t="shared" si="118"/>
        <v>0.15080555555555555</v>
      </c>
      <c r="L854" t="str">
        <f t="shared" si="119"/>
        <v>Tier 1</v>
      </c>
    </row>
    <row r="855" spans="1:12" x14ac:dyDescent="0.35">
      <c r="A855" s="1" t="s">
        <v>2706</v>
      </c>
      <c r="B855">
        <v>889</v>
      </c>
      <c r="C855" t="s">
        <v>26</v>
      </c>
      <c r="D855" t="s">
        <v>2707</v>
      </c>
      <c r="E855" t="s">
        <v>58</v>
      </c>
      <c r="F855" t="s">
        <v>2708</v>
      </c>
      <c r="G855" t="s">
        <v>2639</v>
      </c>
      <c r="H855">
        <f t="shared" si="115"/>
        <v>21000000</v>
      </c>
      <c r="I855">
        <f t="shared" si="116"/>
        <v>71900</v>
      </c>
      <c r="J855">
        <f t="shared" si="117"/>
        <v>113600</v>
      </c>
      <c r="K855" s="2">
        <f t="shared" si="118"/>
        <v>3.4238095238095238E-3</v>
      </c>
      <c r="L855" t="str">
        <f t="shared" si="119"/>
        <v>Tier 2</v>
      </c>
    </row>
    <row r="856" spans="1:12" x14ac:dyDescent="0.35">
      <c r="A856" s="1" t="s">
        <v>2709</v>
      </c>
      <c r="B856">
        <v>890</v>
      </c>
      <c r="C856" t="s">
        <v>1996</v>
      </c>
      <c r="D856" t="s">
        <v>423</v>
      </c>
      <c r="E856" t="s">
        <v>22</v>
      </c>
      <c r="F856" t="s">
        <v>2710</v>
      </c>
      <c r="G856" t="s">
        <v>2711</v>
      </c>
      <c r="H856">
        <f t="shared" si="115"/>
        <v>12100000</v>
      </c>
      <c r="I856">
        <f t="shared" si="116"/>
        <v>167200</v>
      </c>
      <c r="J856">
        <f t="shared" si="117"/>
        <v>197800</v>
      </c>
      <c r="K856" s="2">
        <f t="shared" si="118"/>
        <v>1.3818181818181818E-2</v>
      </c>
      <c r="L856" t="str">
        <f t="shared" si="119"/>
        <v>Tier 2</v>
      </c>
    </row>
    <row r="857" spans="1:12" x14ac:dyDescent="0.35">
      <c r="A857" s="1" t="s">
        <v>2712</v>
      </c>
      <c r="B857">
        <v>891</v>
      </c>
      <c r="D857" t="s">
        <v>23</v>
      </c>
      <c r="E857" t="s">
        <v>519</v>
      </c>
      <c r="F857" t="s">
        <v>2713</v>
      </c>
      <c r="G857" t="s">
        <v>2714</v>
      </c>
      <c r="H857">
        <f t="shared" si="115"/>
        <v>3000000</v>
      </c>
      <c r="I857">
        <f t="shared" si="116"/>
        <v>674800</v>
      </c>
      <c r="J857">
        <f t="shared" si="117"/>
        <v>813200</v>
      </c>
      <c r="K857" s="2">
        <f t="shared" si="118"/>
        <v>0.22493333333333335</v>
      </c>
      <c r="L857" t="str">
        <f t="shared" si="119"/>
        <v>Tier 1</v>
      </c>
    </row>
    <row r="858" spans="1:12" x14ac:dyDescent="0.35">
      <c r="A858" s="1" t="s">
        <v>2715</v>
      </c>
      <c r="B858">
        <v>892</v>
      </c>
      <c r="C858" t="s">
        <v>69</v>
      </c>
      <c r="D858" t="s">
        <v>1015</v>
      </c>
      <c r="E858" t="s">
        <v>279</v>
      </c>
      <c r="F858" t="s">
        <v>2716</v>
      </c>
      <c r="G858" t="s">
        <v>2717</v>
      </c>
      <c r="H858">
        <f t="shared" si="115"/>
        <v>12000000</v>
      </c>
      <c r="I858">
        <f t="shared" si="116"/>
        <v>150100</v>
      </c>
      <c r="J858">
        <f t="shared" si="117"/>
        <v>198000</v>
      </c>
      <c r="K858" s="2">
        <f t="shared" si="118"/>
        <v>1.2508333333333333E-2</v>
      </c>
      <c r="L858" t="str">
        <f t="shared" si="119"/>
        <v>Tier 2</v>
      </c>
    </row>
    <row r="859" spans="1:12" x14ac:dyDescent="0.35">
      <c r="A859" s="1" t="s">
        <v>2718</v>
      </c>
      <c r="B859">
        <v>893</v>
      </c>
      <c r="D859" t="s">
        <v>1013</v>
      </c>
      <c r="E859" t="s">
        <v>22</v>
      </c>
      <c r="F859" t="s">
        <v>2088</v>
      </c>
      <c r="G859" t="s">
        <v>2719</v>
      </c>
      <c r="H859">
        <f t="shared" si="115"/>
        <v>6500000</v>
      </c>
      <c r="I859">
        <f t="shared" si="116"/>
        <v>248900</v>
      </c>
      <c r="J859">
        <f t="shared" si="117"/>
        <v>376600</v>
      </c>
      <c r="K859" s="2">
        <f t="shared" si="118"/>
        <v>3.8292307692307695E-2</v>
      </c>
      <c r="L859" t="str">
        <f t="shared" si="119"/>
        <v>Tier 1</v>
      </c>
    </row>
    <row r="860" spans="1:12" x14ac:dyDescent="0.35">
      <c r="A860" s="1" t="s">
        <v>2720</v>
      </c>
      <c r="B860">
        <v>894</v>
      </c>
      <c r="C860" t="s">
        <v>1996</v>
      </c>
      <c r="D860" t="s">
        <v>151</v>
      </c>
      <c r="E860" t="s">
        <v>141</v>
      </c>
      <c r="F860" t="s">
        <v>2721</v>
      </c>
      <c r="G860" t="s">
        <v>2722</v>
      </c>
      <c r="H860">
        <f t="shared" si="115"/>
        <v>3500000</v>
      </c>
      <c r="I860">
        <f t="shared" si="116"/>
        <v>459200</v>
      </c>
      <c r="J860">
        <f t="shared" si="117"/>
        <v>679700</v>
      </c>
      <c r="K860" s="2">
        <f t="shared" si="118"/>
        <v>0.13120000000000001</v>
      </c>
      <c r="L860" t="str">
        <f t="shared" si="119"/>
        <v>Tier 1</v>
      </c>
    </row>
    <row r="861" spans="1:12" x14ac:dyDescent="0.35">
      <c r="A861" s="1" t="s">
        <v>2723</v>
      </c>
      <c r="B861">
        <v>896</v>
      </c>
      <c r="C861" t="s">
        <v>26</v>
      </c>
      <c r="D861" t="s">
        <v>2147</v>
      </c>
      <c r="E861" t="s">
        <v>2109</v>
      </c>
      <c r="F861" t="s">
        <v>2724</v>
      </c>
      <c r="G861" t="s">
        <v>2725</v>
      </c>
      <c r="H861">
        <f t="shared" si="115"/>
        <v>4400000</v>
      </c>
      <c r="I861">
        <f t="shared" si="116"/>
        <v>536800</v>
      </c>
      <c r="J861">
        <f t="shared" si="117"/>
        <v>559800</v>
      </c>
      <c r="K861" s="2">
        <f t="shared" si="118"/>
        <v>0.122</v>
      </c>
      <c r="L861" t="str">
        <f t="shared" si="119"/>
        <v>Tier 1</v>
      </c>
    </row>
    <row r="862" spans="1:12" x14ac:dyDescent="0.35">
      <c r="A862" s="1" t="s">
        <v>2726</v>
      </c>
      <c r="B862">
        <v>897</v>
      </c>
      <c r="C862" t="s">
        <v>180</v>
      </c>
      <c r="D862" t="s">
        <v>2195</v>
      </c>
      <c r="E862" t="s">
        <v>42</v>
      </c>
      <c r="F862" t="s">
        <v>2727</v>
      </c>
      <c r="G862" t="s">
        <v>2728</v>
      </c>
      <c r="H862">
        <f t="shared" si="115"/>
        <v>15400000</v>
      </c>
      <c r="I862">
        <f t="shared" si="116"/>
        <v>70700</v>
      </c>
      <c r="J862">
        <f t="shared" si="117"/>
        <v>154400</v>
      </c>
      <c r="K862" s="2">
        <f t="shared" si="118"/>
        <v>4.5909090909090908E-3</v>
      </c>
      <c r="L862" t="str">
        <f t="shared" si="119"/>
        <v>Tier 2</v>
      </c>
    </row>
    <row r="863" spans="1:12" x14ac:dyDescent="0.35">
      <c r="A863" s="1" t="s">
        <v>2729</v>
      </c>
      <c r="B863">
        <v>898</v>
      </c>
      <c r="C863" t="s">
        <v>834</v>
      </c>
      <c r="D863" t="s">
        <v>401</v>
      </c>
      <c r="E863" t="s">
        <v>42</v>
      </c>
      <c r="F863" t="s">
        <v>2730</v>
      </c>
      <c r="G863" t="s">
        <v>2731</v>
      </c>
      <c r="H863">
        <f t="shared" si="115"/>
        <v>20400000</v>
      </c>
      <c r="I863">
        <f t="shared" si="116"/>
        <v>93100</v>
      </c>
      <c r="J863">
        <f t="shared" si="117"/>
        <v>117400</v>
      </c>
      <c r="K863" s="2">
        <f t="shared" si="118"/>
        <v>4.5637254901960784E-3</v>
      </c>
      <c r="L863" t="str">
        <f t="shared" si="119"/>
        <v>Tier 2</v>
      </c>
    </row>
    <row r="864" spans="1:12" x14ac:dyDescent="0.35">
      <c r="A864" s="1" t="s">
        <v>2732</v>
      </c>
      <c r="B864">
        <v>899</v>
      </c>
      <c r="C864" t="s">
        <v>814</v>
      </c>
      <c r="D864" t="s">
        <v>1029</v>
      </c>
      <c r="E864" t="s">
        <v>22</v>
      </c>
      <c r="F864" t="s">
        <v>2733</v>
      </c>
      <c r="G864" t="s">
        <v>2734</v>
      </c>
      <c r="H864">
        <f t="shared" si="115"/>
        <v>12800000</v>
      </c>
      <c r="I864">
        <f t="shared" si="116"/>
        <v>151700</v>
      </c>
      <c r="J864">
        <f t="shared" si="117"/>
        <v>185400</v>
      </c>
      <c r="K864" s="2">
        <f t="shared" si="118"/>
        <v>1.1851562499999999E-2</v>
      </c>
      <c r="L864" t="str">
        <f t="shared" si="119"/>
        <v>Tier 2</v>
      </c>
    </row>
    <row r="865" spans="1:12" x14ac:dyDescent="0.35">
      <c r="A865" s="1" t="s">
        <v>2735</v>
      </c>
      <c r="B865">
        <v>900</v>
      </c>
      <c r="C865" t="s">
        <v>26</v>
      </c>
      <c r="D865" t="s">
        <v>111</v>
      </c>
      <c r="E865" t="s">
        <v>22</v>
      </c>
      <c r="F865" t="s">
        <v>2736</v>
      </c>
      <c r="G865" t="s">
        <v>2737</v>
      </c>
      <c r="H865">
        <f t="shared" si="115"/>
        <v>4600000</v>
      </c>
      <c r="I865">
        <f t="shared" si="116"/>
        <v>336500</v>
      </c>
      <c r="J865">
        <f t="shared" si="117"/>
        <v>518900</v>
      </c>
      <c r="K865" s="2">
        <f t="shared" si="118"/>
        <v>7.3152173913043475E-2</v>
      </c>
      <c r="L865" t="str">
        <f t="shared" si="119"/>
        <v>Tier 1</v>
      </c>
    </row>
    <row r="866" spans="1:12" x14ac:dyDescent="0.35">
      <c r="A866" s="1" t="s">
        <v>2738</v>
      </c>
      <c r="B866">
        <v>901</v>
      </c>
      <c r="C866" t="s">
        <v>26</v>
      </c>
      <c r="D866" t="s">
        <v>742</v>
      </c>
      <c r="E866" t="s">
        <v>42</v>
      </c>
      <c r="F866" t="s">
        <v>2739</v>
      </c>
      <c r="G866" t="s">
        <v>2740</v>
      </c>
      <c r="H866">
        <f t="shared" si="115"/>
        <v>9000000</v>
      </c>
      <c r="I866">
        <f t="shared" si="116"/>
        <v>184400</v>
      </c>
      <c r="J866">
        <f t="shared" si="117"/>
        <v>262500</v>
      </c>
      <c r="K866" s="2">
        <f t="shared" si="118"/>
        <v>2.048888888888889E-2</v>
      </c>
      <c r="L866" t="str">
        <f t="shared" si="119"/>
        <v>Tier 1</v>
      </c>
    </row>
    <row r="867" spans="1:12" x14ac:dyDescent="0.35">
      <c r="A867" s="1" t="s">
        <v>2741</v>
      </c>
      <c r="B867">
        <v>902</v>
      </c>
      <c r="C867" t="s">
        <v>76</v>
      </c>
      <c r="D867" t="s">
        <v>682</v>
      </c>
      <c r="E867" t="s">
        <v>22</v>
      </c>
      <c r="F867" t="s">
        <v>2742</v>
      </c>
      <c r="G867" t="s">
        <v>2743</v>
      </c>
      <c r="H867">
        <f t="shared" si="115"/>
        <v>16600000.000000002</v>
      </c>
      <c r="I867">
        <f t="shared" si="116"/>
        <v>89600</v>
      </c>
      <c r="J867">
        <f t="shared" si="117"/>
        <v>139800</v>
      </c>
      <c r="K867" s="2">
        <f t="shared" si="118"/>
        <v>5.3975903614457829E-3</v>
      </c>
      <c r="L867" t="str">
        <f t="shared" si="119"/>
        <v>Tier 2</v>
      </c>
    </row>
    <row r="868" spans="1:12" x14ac:dyDescent="0.35">
      <c r="A868" s="1" t="s">
        <v>2744</v>
      </c>
      <c r="B868">
        <v>903</v>
      </c>
      <c r="C868" t="s">
        <v>69</v>
      </c>
      <c r="D868" t="s">
        <v>1831</v>
      </c>
      <c r="E868" t="s">
        <v>10</v>
      </c>
      <c r="F868" t="s">
        <v>2745</v>
      </c>
      <c r="G868" t="s">
        <v>826</v>
      </c>
      <c r="H868">
        <f t="shared" si="115"/>
        <v>6100000</v>
      </c>
      <c r="I868">
        <f t="shared" si="116"/>
        <v>338000</v>
      </c>
      <c r="J868">
        <f t="shared" si="117"/>
        <v>382500</v>
      </c>
      <c r="K868" s="2">
        <f t="shared" si="118"/>
        <v>5.5409836065573773E-2</v>
      </c>
      <c r="L868" t="str">
        <f t="shared" si="119"/>
        <v>Tier 1</v>
      </c>
    </row>
    <row r="869" spans="1:12" x14ac:dyDescent="0.35">
      <c r="A869" s="1" t="s">
        <v>2746</v>
      </c>
      <c r="B869">
        <v>905</v>
      </c>
      <c r="C869" t="s">
        <v>76</v>
      </c>
      <c r="D869" t="s">
        <v>142</v>
      </c>
      <c r="E869" t="s">
        <v>1030</v>
      </c>
      <c r="F869" t="s">
        <v>2747</v>
      </c>
      <c r="G869" t="s">
        <v>2748</v>
      </c>
      <c r="H869">
        <f t="shared" si="115"/>
        <v>3700000</v>
      </c>
      <c r="I869">
        <f t="shared" si="116"/>
        <v>481500</v>
      </c>
      <c r="J869">
        <f t="shared" si="117"/>
        <v>633300</v>
      </c>
      <c r="K869" s="2">
        <f t="shared" si="118"/>
        <v>0.13013513513513514</v>
      </c>
      <c r="L869" t="str">
        <f t="shared" si="119"/>
        <v>Tier 1</v>
      </c>
    </row>
    <row r="870" spans="1:12" x14ac:dyDescent="0.35">
      <c r="A870" s="1" t="s">
        <v>2749</v>
      </c>
      <c r="B870">
        <v>906</v>
      </c>
      <c r="C870" t="s">
        <v>2540</v>
      </c>
      <c r="D870" t="s">
        <v>802</v>
      </c>
      <c r="E870" t="s">
        <v>265</v>
      </c>
      <c r="F870" t="s">
        <v>2105</v>
      </c>
      <c r="G870" t="s">
        <v>2750</v>
      </c>
      <c r="H870">
        <f t="shared" si="115"/>
        <v>9400000</v>
      </c>
      <c r="I870">
        <f t="shared" si="116"/>
        <v>194800</v>
      </c>
      <c r="J870">
        <f t="shared" si="117"/>
        <v>249600</v>
      </c>
      <c r="K870" s="2">
        <f t="shared" si="118"/>
        <v>2.0723404255319149E-2</v>
      </c>
      <c r="L870" t="str">
        <f t="shared" si="119"/>
        <v>Tier 1</v>
      </c>
    </row>
    <row r="871" spans="1:12" x14ac:dyDescent="0.35">
      <c r="A871" s="1" t="s">
        <v>2751</v>
      </c>
      <c r="B871">
        <v>907</v>
      </c>
      <c r="C871" t="s">
        <v>76</v>
      </c>
      <c r="D871" t="s">
        <v>802</v>
      </c>
      <c r="E871" t="s">
        <v>22</v>
      </c>
      <c r="F871" t="s">
        <v>2752</v>
      </c>
      <c r="G871" t="s">
        <v>2753</v>
      </c>
      <c r="H871">
        <f t="shared" si="115"/>
        <v>9400000</v>
      </c>
      <c r="I871">
        <f t="shared" si="116"/>
        <v>158200</v>
      </c>
      <c r="J871">
        <f t="shared" si="117"/>
        <v>247400</v>
      </c>
      <c r="K871" s="2">
        <f t="shared" si="118"/>
        <v>1.6829787234042552E-2</v>
      </c>
      <c r="L871" t="str">
        <f t="shared" si="119"/>
        <v>Tier 1</v>
      </c>
    </row>
    <row r="872" spans="1:12" x14ac:dyDescent="0.35">
      <c r="A872" s="1" t="s">
        <v>2754</v>
      </c>
      <c r="B872">
        <v>908</v>
      </c>
      <c r="C872" t="s">
        <v>2755</v>
      </c>
      <c r="D872" t="s">
        <v>759</v>
      </c>
      <c r="E872" t="s">
        <v>42</v>
      </c>
      <c r="F872" t="s">
        <v>2639</v>
      </c>
      <c r="G872" t="s">
        <v>2756</v>
      </c>
      <c r="H872">
        <f t="shared" si="115"/>
        <v>15100000</v>
      </c>
      <c r="I872">
        <f t="shared" si="116"/>
        <v>113600</v>
      </c>
      <c r="J872">
        <f t="shared" si="117"/>
        <v>160700</v>
      </c>
      <c r="K872" s="2">
        <f t="shared" si="118"/>
        <v>7.5231788079470202E-3</v>
      </c>
      <c r="L872" t="str">
        <f t="shared" si="119"/>
        <v>Tier 2</v>
      </c>
    </row>
    <row r="873" spans="1:12" x14ac:dyDescent="0.35">
      <c r="A873" s="1" t="s">
        <v>2757</v>
      </c>
      <c r="B873">
        <v>909</v>
      </c>
      <c r="C873" t="s">
        <v>200</v>
      </c>
      <c r="D873" t="s">
        <v>151</v>
      </c>
      <c r="E873" t="s">
        <v>195</v>
      </c>
      <c r="F873" t="s">
        <v>2758</v>
      </c>
      <c r="G873" t="s">
        <v>2759</v>
      </c>
      <c r="H873">
        <f t="shared" si="115"/>
        <v>3500000</v>
      </c>
      <c r="I873">
        <f t="shared" si="116"/>
        <v>528500</v>
      </c>
      <c r="J873">
        <f t="shared" si="117"/>
        <v>676700</v>
      </c>
      <c r="K873" s="2">
        <f t="shared" si="118"/>
        <v>0.151</v>
      </c>
      <c r="L873" t="str">
        <f t="shared" si="119"/>
        <v>Tier 1</v>
      </c>
    </row>
    <row r="874" spans="1:12" x14ac:dyDescent="0.35">
      <c r="A874" s="1" t="s">
        <v>2760</v>
      </c>
      <c r="B874">
        <v>910</v>
      </c>
      <c r="C874" t="s">
        <v>2761</v>
      </c>
      <c r="D874" t="s">
        <v>459</v>
      </c>
      <c r="E874" t="s">
        <v>22</v>
      </c>
      <c r="F874" t="s">
        <v>2762</v>
      </c>
      <c r="G874" t="s">
        <v>2763</v>
      </c>
      <c r="H874">
        <f t="shared" si="115"/>
        <v>21300000</v>
      </c>
      <c r="I874">
        <f t="shared" si="116"/>
        <v>91300</v>
      </c>
      <c r="J874">
        <f t="shared" si="117"/>
        <v>108300</v>
      </c>
      <c r="K874" s="2">
        <f t="shared" si="118"/>
        <v>4.2863849765258219E-3</v>
      </c>
      <c r="L874" t="str">
        <f t="shared" si="119"/>
        <v>Tier 2</v>
      </c>
    </row>
    <row r="875" spans="1:12" x14ac:dyDescent="0.35">
      <c r="A875" s="1" t="s">
        <v>2764</v>
      </c>
      <c r="B875">
        <v>911</v>
      </c>
      <c r="C875" t="s">
        <v>1097</v>
      </c>
      <c r="D875" t="s">
        <v>858</v>
      </c>
      <c r="E875" t="s">
        <v>22</v>
      </c>
      <c r="F875" t="s">
        <v>2765</v>
      </c>
      <c r="G875" t="s">
        <v>2766</v>
      </c>
      <c r="H875">
        <f t="shared" si="115"/>
        <v>9300000</v>
      </c>
      <c r="I875">
        <f t="shared" si="116"/>
        <v>190300</v>
      </c>
      <c r="J875">
        <f t="shared" si="117"/>
        <v>249100</v>
      </c>
      <c r="K875" s="2">
        <f t="shared" si="118"/>
        <v>2.0462365591397851E-2</v>
      </c>
      <c r="L875" t="str">
        <f t="shared" si="119"/>
        <v>Tier 1</v>
      </c>
    </row>
    <row r="876" spans="1:12" x14ac:dyDescent="0.35">
      <c r="A876" s="1" t="s">
        <v>2767</v>
      </c>
      <c r="B876">
        <v>912</v>
      </c>
      <c r="C876" t="s">
        <v>8</v>
      </c>
      <c r="D876" t="s">
        <v>671</v>
      </c>
      <c r="E876" t="s">
        <v>279</v>
      </c>
      <c r="F876" t="s">
        <v>2768</v>
      </c>
      <c r="G876" t="s">
        <v>2769</v>
      </c>
      <c r="H876">
        <f t="shared" si="115"/>
        <v>13500000</v>
      </c>
      <c r="I876">
        <f t="shared" si="116"/>
        <v>111700</v>
      </c>
      <c r="J876">
        <f t="shared" si="117"/>
        <v>168100</v>
      </c>
      <c r="K876" s="2">
        <f t="shared" si="118"/>
        <v>8.2740740740740743E-3</v>
      </c>
      <c r="L876" t="str">
        <f t="shared" si="119"/>
        <v>Tier 2</v>
      </c>
    </row>
    <row r="877" spans="1:12" x14ac:dyDescent="0.35">
      <c r="A877" s="1" t="s">
        <v>2770</v>
      </c>
      <c r="B877">
        <v>913</v>
      </c>
      <c r="C877" t="s">
        <v>26</v>
      </c>
      <c r="D877" t="s">
        <v>1039</v>
      </c>
      <c r="E877" t="s">
        <v>252</v>
      </c>
      <c r="F877" t="s">
        <v>2771</v>
      </c>
      <c r="G877" t="s">
        <v>2772</v>
      </c>
      <c r="H877">
        <f t="shared" si="115"/>
        <v>18400000</v>
      </c>
      <c r="I877">
        <f t="shared" si="116"/>
        <v>83700</v>
      </c>
      <c r="J877">
        <f t="shared" si="117"/>
        <v>125600</v>
      </c>
      <c r="K877" s="2">
        <f t="shared" si="118"/>
        <v>4.5489130434782608E-3</v>
      </c>
      <c r="L877" t="str">
        <f t="shared" si="119"/>
        <v>Tier 2</v>
      </c>
    </row>
    <row r="878" spans="1:12" x14ac:dyDescent="0.35">
      <c r="A878" s="1" t="s">
        <v>2773</v>
      </c>
      <c r="B878">
        <v>914</v>
      </c>
      <c r="C878" t="s">
        <v>76</v>
      </c>
      <c r="D878" t="s">
        <v>110</v>
      </c>
      <c r="E878" t="s">
        <v>195</v>
      </c>
      <c r="F878" t="s">
        <v>2774</v>
      </c>
      <c r="G878" t="s">
        <v>2775</v>
      </c>
      <c r="H878">
        <f t="shared" si="115"/>
        <v>4000000</v>
      </c>
      <c r="I878">
        <f t="shared" si="116"/>
        <v>520500</v>
      </c>
      <c r="J878">
        <f t="shared" si="117"/>
        <v>577400</v>
      </c>
      <c r="K878" s="2">
        <f t="shared" si="118"/>
        <v>0.13012499999999999</v>
      </c>
      <c r="L878" t="str">
        <f t="shared" si="119"/>
        <v>Tier 1</v>
      </c>
    </row>
    <row r="879" spans="1:12" x14ac:dyDescent="0.35">
      <c r="A879" s="1" t="s">
        <v>2776</v>
      </c>
      <c r="B879">
        <v>915</v>
      </c>
      <c r="C879" t="s">
        <v>920</v>
      </c>
      <c r="D879" t="s">
        <v>2234</v>
      </c>
      <c r="E879" t="s">
        <v>42</v>
      </c>
      <c r="F879" t="s">
        <v>2777</v>
      </c>
      <c r="G879" t="s">
        <v>2778</v>
      </c>
      <c r="H879">
        <f t="shared" si="115"/>
        <v>21500000</v>
      </c>
      <c r="I879">
        <f t="shared" si="116"/>
        <v>54600</v>
      </c>
      <c r="J879">
        <f t="shared" si="117"/>
        <v>105300</v>
      </c>
      <c r="K879" s="2">
        <f t="shared" si="118"/>
        <v>2.5395348837209302E-3</v>
      </c>
      <c r="L879" t="str">
        <f t="shared" si="119"/>
        <v>Tier 2</v>
      </c>
    </row>
    <row r="880" spans="1:12" x14ac:dyDescent="0.35">
      <c r="A880" s="1" t="s">
        <v>2779</v>
      </c>
      <c r="B880">
        <v>916</v>
      </c>
      <c r="C880" t="s">
        <v>26</v>
      </c>
      <c r="D880" t="s">
        <v>682</v>
      </c>
      <c r="E880" t="s">
        <v>42</v>
      </c>
      <c r="F880" t="s">
        <v>2780</v>
      </c>
      <c r="G880" t="s">
        <v>2781</v>
      </c>
      <c r="H880">
        <f t="shared" si="115"/>
        <v>16600000.000000002</v>
      </c>
      <c r="I880">
        <f t="shared" si="116"/>
        <v>98200</v>
      </c>
      <c r="J880">
        <f t="shared" si="117"/>
        <v>136700</v>
      </c>
      <c r="K880" s="2">
        <f t="shared" si="118"/>
        <v>5.9156626506024091E-3</v>
      </c>
      <c r="L880" t="str">
        <f t="shared" si="119"/>
        <v>Tier 2</v>
      </c>
    </row>
    <row r="881" spans="1:12" x14ac:dyDescent="0.35">
      <c r="A881" s="1" t="s">
        <v>2782</v>
      </c>
      <c r="B881">
        <v>917</v>
      </c>
      <c r="C881" t="s">
        <v>76</v>
      </c>
      <c r="D881" t="s">
        <v>151</v>
      </c>
      <c r="E881" t="s">
        <v>211</v>
      </c>
      <c r="F881" t="s">
        <v>2783</v>
      </c>
      <c r="G881" t="s">
        <v>2784</v>
      </c>
      <c r="H881">
        <f t="shared" si="115"/>
        <v>3500000</v>
      </c>
      <c r="I881">
        <f t="shared" si="116"/>
        <v>586800</v>
      </c>
      <c r="J881">
        <f t="shared" si="117"/>
        <v>662400</v>
      </c>
      <c r="K881" s="2">
        <f t="shared" si="118"/>
        <v>0.16765714285714287</v>
      </c>
      <c r="L881" t="str">
        <f t="shared" si="119"/>
        <v>Tier 1</v>
      </c>
    </row>
    <row r="882" spans="1:12" x14ac:dyDescent="0.35">
      <c r="A882" s="1" t="s">
        <v>2785</v>
      </c>
      <c r="B882">
        <v>918</v>
      </c>
      <c r="C882" t="s">
        <v>76</v>
      </c>
      <c r="D882" t="s">
        <v>142</v>
      </c>
      <c r="E882" t="s">
        <v>252</v>
      </c>
      <c r="F882" t="s">
        <v>664</v>
      </c>
      <c r="G882" t="s">
        <v>2786</v>
      </c>
      <c r="H882">
        <f t="shared" si="115"/>
        <v>3700000</v>
      </c>
      <c r="I882">
        <f t="shared" si="116"/>
        <v>417900</v>
      </c>
      <c r="J882">
        <f t="shared" si="117"/>
        <v>619600</v>
      </c>
      <c r="K882" s="2">
        <f t="shared" si="118"/>
        <v>0.11294594594594595</v>
      </c>
      <c r="L882" t="str">
        <f t="shared" si="119"/>
        <v>Tier 1</v>
      </c>
    </row>
    <row r="883" spans="1:12" x14ac:dyDescent="0.35">
      <c r="A883" s="1" t="s">
        <v>2787</v>
      </c>
      <c r="B883">
        <v>919</v>
      </c>
      <c r="C883" t="s">
        <v>834</v>
      </c>
      <c r="D883" t="s">
        <v>2472</v>
      </c>
      <c r="E883" t="s">
        <v>22</v>
      </c>
      <c r="F883" t="s">
        <v>2007</v>
      </c>
      <c r="G883" t="s">
        <v>2204</v>
      </c>
      <c r="H883">
        <f t="shared" si="115"/>
        <v>7500000</v>
      </c>
      <c r="I883">
        <f t="shared" si="116"/>
        <v>144500</v>
      </c>
      <c r="J883">
        <f t="shared" si="117"/>
        <v>305900</v>
      </c>
      <c r="K883" s="2">
        <f t="shared" si="118"/>
        <v>1.9266666666666668E-2</v>
      </c>
      <c r="L883" t="str">
        <f t="shared" si="119"/>
        <v>Tier 1</v>
      </c>
    </row>
    <row r="884" spans="1:12" x14ac:dyDescent="0.35">
      <c r="A884" s="1" t="s">
        <v>2788</v>
      </c>
      <c r="B884">
        <v>920</v>
      </c>
      <c r="C884" t="s">
        <v>305</v>
      </c>
      <c r="D884" t="s">
        <v>2789</v>
      </c>
      <c r="E884" t="s">
        <v>519</v>
      </c>
      <c r="F884" t="s">
        <v>2790</v>
      </c>
      <c r="G884" t="s">
        <v>2791</v>
      </c>
      <c r="H884">
        <f t="shared" ref="H884:H947" si="120">IF(RIGHT(D884,1)="M", VALUE(SUBSTITUTE(D884,"M",""))*1000000, VALUE(SUBSTITUTE(D884,"K",""))*1000)</f>
        <v>16300000</v>
      </c>
      <c r="I884">
        <f t="shared" ref="I884:I947" si="121">IF(RIGHT(F884,1)="M", VALUE(SUBSTITUTE(F884,"M",""))*1000000, VALUE(SUBSTITUTE(F884,"K",""))*1000)</f>
        <v>101300</v>
      </c>
      <c r="J884">
        <f t="shared" ref="J884:J947" si="122">IF(RIGHT(G884,1)="M", VALUE(SUBSTITUTE(G884,"M",""))*1000000, VALUE(SUBSTITUTE(G884,"K",""))*1000)</f>
        <v>139000</v>
      </c>
      <c r="K884" s="2">
        <f t="shared" ref="K884:K947" si="123">I884/H884</f>
        <v>6.2147239263803684E-3</v>
      </c>
      <c r="L884" t="str">
        <f t="shared" ref="L884:L947" si="124">IF(H884&lt;10000000,"Tier 1",
 IF(H884&lt;50000000,"Tier 2",
 IF(H884&lt;100000000,"Tier 3",
 "Tier 4")))</f>
        <v>Tier 2</v>
      </c>
    </row>
    <row r="885" spans="1:12" x14ac:dyDescent="0.35">
      <c r="A885" s="1" t="s">
        <v>2792</v>
      </c>
      <c r="B885">
        <v>921</v>
      </c>
      <c r="C885" t="s">
        <v>542</v>
      </c>
      <c r="D885" t="s">
        <v>1013</v>
      </c>
      <c r="E885" t="s">
        <v>265</v>
      </c>
      <c r="F885" t="s">
        <v>2793</v>
      </c>
      <c r="G885" t="s">
        <v>2098</v>
      </c>
      <c r="H885">
        <f t="shared" si="120"/>
        <v>6500000</v>
      </c>
      <c r="I885">
        <f t="shared" si="121"/>
        <v>283800</v>
      </c>
      <c r="J885">
        <f t="shared" si="122"/>
        <v>349300</v>
      </c>
      <c r="K885" s="2">
        <f t="shared" si="123"/>
        <v>4.366153846153846E-2</v>
      </c>
      <c r="L885" t="str">
        <f t="shared" si="124"/>
        <v>Tier 1</v>
      </c>
    </row>
    <row r="886" spans="1:12" x14ac:dyDescent="0.35">
      <c r="A886" s="1" t="s">
        <v>2794</v>
      </c>
      <c r="B886">
        <v>922</v>
      </c>
      <c r="D886" t="s">
        <v>2509</v>
      </c>
      <c r="E886" t="s">
        <v>22</v>
      </c>
      <c r="F886" t="s">
        <v>2664</v>
      </c>
      <c r="G886" t="s">
        <v>2795</v>
      </c>
      <c r="H886">
        <f t="shared" si="120"/>
        <v>6800000</v>
      </c>
      <c r="I886">
        <f t="shared" si="121"/>
        <v>293800</v>
      </c>
      <c r="J886">
        <f t="shared" si="122"/>
        <v>337800</v>
      </c>
      <c r="K886" s="2">
        <f t="shared" si="123"/>
        <v>4.3205882352941177E-2</v>
      </c>
      <c r="L886" t="str">
        <f t="shared" si="124"/>
        <v>Tier 1</v>
      </c>
    </row>
    <row r="887" spans="1:12" x14ac:dyDescent="0.35">
      <c r="A887" s="1" t="s">
        <v>2796</v>
      </c>
      <c r="B887">
        <v>923</v>
      </c>
      <c r="C887" t="s">
        <v>1097</v>
      </c>
      <c r="D887" t="s">
        <v>2797</v>
      </c>
      <c r="E887" t="s">
        <v>10</v>
      </c>
      <c r="F887" t="s">
        <v>2798</v>
      </c>
      <c r="G887" t="s">
        <v>2799</v>
      </c>
      <c r="H887">
        <f t="shared" si="120"/>
        <v>38400000</v>
      </c>
      <c r="I887">
        <f t="shared" si="121"/>
        <v>41300</v>
      </c>
      <c r="J887">
        <f t="shared" si="122"/>
        <v>58500</v>
      </c>
      <c r="K887" s="2">
        <f t="shared" si="123"/>
        <v>1.0755208333333333E-3</v>
      </c>
      <c r="L887" t="str">
        <f t="shared" si="124"/>
        <v>Tier 2</v>
      </c>
    </row>
    <row r="888" spans="1:12" x14ac:dyDescent="0.35">
      <c r="A888" s="1" t="s">
        <v>2800</v>
      </c>
      <c r="B888">
        <v>924</v>
      </c>
      <c r="C888" t="s">
        <v>2801</v>
      </c>
      <c r="D888" t="s">
        <v>1148</v>
      </c>
      <c r="E888" t="s">
        <v>10</v>
      </c>
      <c r="F888" t="s">
        <v>2802</v>
      </c>
      <c r="G888" t="s">
        <v>2803</v>
      </c>
      <c r="H888">
        <f t="shared" si="120"/>
        <v>10100000</v>
      </c>
      <c r="I888">
        <f t="shared" si="121"/>
        <v>173100</v>
      </c>
      <c r="J888">
        <f t="shared" si="122"/>
        <v>222000</v>
      </c>
      <c r="K888" s="2">
        <f t="shared" si="123"/>
        <v>1.713861386138614E-2</v>
      </c>
      <c r="L888" t="str">
        <f t="shared" si="124"/>
        <v>Tier 2</v>
      </c>
    </row>
    <row r="889" spans="1:12" x14ac:dyDescent="0.35">
      <c r="A889" s="1" t="s">
        <v>2804</v>
      </c>
      <c r="B889">
        <v>925</v>
      </c>
      <c r="C889" t="s">
        <v>305</v>
      </c>
      <c r="D889" t="s">
        <v>2805</v>
      </c>
      <c r="E889" t="s">
        <v>265</v>
      </c>
      <c r="F889" t="s">
        <v>2806</v>
      </c>
      <c r="G889" t="s">
        <v>2807</v>
      </c>
      <c r="H889">
        <f t="shared" si="120"/>
        <v>7200000</v>
      </c>
      <c r="I889">
        <f t="shared" si="121"/>
        <v>266800</v>
      </c>
      <c r="J889">
        <f t="shared" si="122"/>
        <v>316100</v>
      </c>
      <c r="K889" s="2">
        <f t="shared" si="123"/>
        <v>3.7055555555555557E-2</v>
      </c>
      <c r="L889" t="str">
        <f t="shared" si="124"/>
        <v>Tier 1</v>
      </c>
    </row>
    <row r="890" spans="1:12" x14ac:dyDescent="0.35">
      <c r="A890" s="1" t="s">
        <v>2808</v>
      </c>
      <c r="B890">
        <v>926</v>
      </c>
      <c r="C890" t="s">
        <v>2809</v>
      </c>
      <c r="D890" t="s">
        <v>1509</v>
      </c>
      <c r="E890" t="s">
        <v>58</v>
      </c>
      <c r="F890" t="s">
        <v>2810</v>
      </c>
      <c r="G890" t="s">
        <v>2811</v>
      </c>
      <c r="H890">
        <f t="shared" si="120"/>
        <v>7100000</v>
      </c>
      <c r="I890">
        <f t="shared" si="121"/>
        <v>264100</v>
      </c>
      <c r="J890">
        <f t="shared" si="122"/>
        <v>318800</v>
      </c>
      <c r="K890" s="2">
        <f t="shared" si="123"/>
        <v>3.7197183098591546E-2</v>
      </c>
      <c r="L890" t="str">
        <f t="shared" si="124"/>
        <v>Tier 1</v>
      </c>
    </row>
    <row r="891" spans="1:12" x14ac:dyDescent="0.35">
      <c r="A891" s="1" t="s">
        <v>2812</v>
      </c>
      <c r="B891">
        <v>927</v>
      </c>
      <c r="C891" t="s">
        <v>305</v>
      </c>
      <c r="D891" t="s">
        <v>917</v>
      </c>
      <c r="E891" t="s">
        <v>42</v>
      </c>
      <c r="F891" t="s">
        <v>2813</v>
      </c>
      <c r="G891" t="s">
        <v>2814</v>
      </c>
      <c r="H891">
        <f t="shared" si="120"/>
        <v>8000000</v>
      </c>
      <c r="I891">
        <f t="shared" si="121"/>
        <v>226800</v>
      </c>
      <c r="J891">
        <f t="shared" si="122"/>
        <v>284300</v>
      </c>
      <c r="K891" s="2">
        <f t="shared" si="123"/>
        <v>2.835E-2</v>
      </c>
      <c r="L891" t="str">
        <f t="shared" si="124"/>
        <v>Tier 1</v>
      </c>
    </row>
    <row r="892" spans="1:12" x14ac:dyDescent="0.35">
      <c r="A892" s="1" t="s">
        <v>2815</v>
      </c>
      <c r="B892">
        <v>928</v>
      </c>
      <c r="C892" t="s">
        <v>834</v>
      </c>
      <c r="D892" t="s">
        <v>1714</v>
      </c>
      <c r="E892" t="s">
        <v>42</v>
      </c>
      <c r="F892" t="s">
        <v>2816</v>
      </c>
      <c r="G892" t="s">
        <v>2817</v>
      </c>
      <c r="H892">
        <f t="shared" si="120"/>
        <v>9200000</v>
      </c>
      <c r="I892">
        <f t="shared" si="121"/>
        <v>75300</v>
      </c>
      <c r="J892">
        <f t="shared" si="122"/>
        <v>248000</v>
      </c>
      <c r="K892" s="2">
        <f t="shared" si="123"/>
        <v>8.1847826086956527E-3</v>
      </c>
      <c r="L892" t="str">
        <f t="shared" si="124"/>
        <v>Tier 1</v>
      </c>
    </row>
    <row r="893" spans="1:12" x14ac:dyDescent="0.35">
      <c r="A893" s="1" t="s">
        <v>2818</v>
      </c>
      <c r="B893">
        <v>929</v>
      </c>
      <c r="C893" t="s">
        <v>69</v>
      </c>
      <c r="D893" t="s">
        <v>78</v>
      </c>
      <c r="E893" t="s">
        <v>22</v>
      </c>
      <c r="F893" t="s">
        <v>2699</v>
      </c>
      <c r="G893" t="s">
        <v>2819</v>
      </c>
      <c r="H893">
        <f t="shared" si="120"/>
        <v>10400000</v>
      </c>
      <c r="I893">
        <f t="shared" si="121"/>
        <v>152600</v>
      </c>
      <c r="J893">
        <f t="shared" si="122"/>
        <v>213400</v>
      </c>
      <c r="K893" s="2">
        <f t="shared" si="123"/>
        <v>1.4673076923076922E-2</v>
      </c>
      <c r="L893" t="str">
        <f t="shared" si="124"/>
        <v>Tier 2</v>
      </c>
    </row>
    <row r="894" spans="1:12" x14ac:dyDescent="0.35">
      <c r="A894" s="1" t="s">
        <v>2820</v>
      </c>
      <c r="B894">
        <v>930</v>
      </c>
      <c r="C894" t="s">
        <v>69</v>
      </c>
      <c r="D894" t="s">
        <v>1681</v>
      </c>
      <c r="E894" t="s">
        <v>22</v>
      </c>
      <c r="F894" t="s">
        <v>2821</v>
      </c>
      <c r="G894" t="s">
        <v>2822</v>
      </c>
      <c r="H894">
        <f t="shared" si="120"/>
        <v>8800000</v>
      </c>
      <c r="I894">
        <f t="shared" si="121"/>
        <v>196600</v>
      </c>
      <c r="J894">
        <f t="shared" si="122"/>
        <v>256700</v>
      </c>
      <c r="K894" s="2">
        <f t="shared" si="123"/>
        <v>2.2340909090909092E-2</v>
      </c>
      <c r="L894" t="str">
        <f t="shared" si="124"/>
        <v>Tier 1</v>
      </c>
    </row>
    <row r="895" spans="1:12" x14ac:dyDescent="0.35">
      <c r="A895" s="1" t="s">
        <v>2823</v>
      </c>
      <c r="B895">
        <v>931</v>
      </c>
      <c r="C895" t="s">
        <v>1193</v>
      </c>
      <c r="D895" t="s">
        <v>847</v>
      </c>
      <c r="E895" t="s">
        <v>22</v>
      </c>
      <c r="F895" t="s">
        <v>2824</v>
      </c>
      <c r="G895" t="s">
        <v>2825</v>
      </c>
      <c r="H895">
        <f t="shared" si="120"/>
        <v>15300000</v>
      </c>
      <c r="I895">
        <f t="shared" si="121"/>
        <v>76800</v>
      </c>
      <c r="J895">
        <f t="shared" si="122"/>
        <v>145000</v>
      </c>
      <c r="K895" s="2">
        <f t="shared" si="123"/>
        <v>5.019607843137255E-3</v>
      </c>
      <c r="L895" t="str">
        <f t="shared" si="124"/>
        <v>Tier 2</v>
      </c>
    </row>
    <row r="896" spans="1:12" x14ac:dyDescent="0.35">
      <c r="A896" s="1" t="s">
        <v>2826</v>
      </c>
      <c r="B896">
        <v>932</v>
      </c>
      <c r="C896" t="s">
        <v>1659</v>
      </c>
      <c r="D896" t="s">
        <v>12</v>
      </c>
      <c r="E896" t="s">
        <v>10</v>
      </c>
      <c r="F896" t="s">
        <v>1822</v>
      </c>
      <c r="G896" t="s">
        <v>2745</v>
      </c>
      <c r="H896">
        <f t="shared" si="120"/>
        <v>6600000</v>
      </c>
      <c r="I896">
        <f t="shared" si="121"/>
        <v>274000</v>
      </c>
      <c r="J896">
        <f t="shared" si="122"/>
        <v>338000</v>
      </c>
      <c r="K896" s="2">
        <f t="shared" si="123"/>
        <v>4.1515151515151512E-2</v>
      </c>
      <c r="L896" t="str">
        <f t="shared" si="124"/>
        <v>Tier 1</v>
      </c>
    </row>
    <row r="897" spans="1:12" x14ac:dyDescent="0.35">
      <c r="A897" s="1" t="s">
        <v>2827</v>
      </c>
      <c r="B897">
        <v>933</v>
      </c>
      <c r="C897" t="s">
        <v>26</v>
      </c>
      <c r="D897" t="s">
        <v>591</v>
      </c>
      <c r="E897" t="s">
        <v>22</v>
      </c>
      <c r="F897" t="s">
        <v>2828</v>
      </c>
      <c r="G897" t="s">
        <v>2829</v>
      </c>
      <c r="H897">
        <f t="shared" si="120"/>
        <v>21200000</v>
      </c>
      <c r="I897">
        <f t="shared" si="121"/>
        <v>65300</v>
      </c>
      <c r="J897">
        <f t="shared" si="122"/>
        <v>105900</v>
      </c>
      <c r="K897" s="2">
        <f t="shared" si="123"/>
        <v>3.080188679245283E-3</v>
      </c>
      <c r="L897" t="str">
        <f t="shared" si="124"/>
        <v>Tier 2</v>
      </c>
    </row>
    <row r="898" spans="1:12" x14ac:dyDescent="0.35">
      <c r="A898" s="1" t="s">
        <v>2830</v>
      </c>
      <c r="B898">
        <v>934</v>
      </c>
      <c r="C898" t="s">
        <v>69</v>
      </c>
      <c r="D898" t="s">
        <v>2831</v>
      </c>
      <c r="E898" t="s">
        <v>10</v>
      </c>
      <c r="F898" t="s">
        <v>2832</v>
      </c>
      <c r="G898" t="s">
        <v>2833</v>
      </c>
      <c r="H898">
        <f t="shared" si="120"/>
        <v>26000000</v>
      </c>
      <c r="I898">
        <f t="shared" si="121"/>
        <v>74100</v>
      </c>
      <c r="J898">
        <f t="shared" si="122"/>
        <v>85300</v>
      </c>
      <c r="K898" s="2">
        <f t="shared" si="123"/>
        <v>2.8500000000000001E-3</v>
      </c>
      <c r="L898" t="str">
        <f t="shared" si="124"/>
        <v>Tier 2</v>
      </c>
    </row>
    <row r="899" spans="1:12" x14ac:dyDescent="0.35">
      <c r="A899" s="1" t="s">
        <v>2834</v>
      </c>
      <c r="B899">
        <v>935</v>
      </c>
      <c r="C899" t="s">
        <v>69</v>
      </c>
      <c r="D899" t="s">
        <v>1167</v>
      </c>
      <c r="E899" t="s">
        <v>22</v>
      </c>
      <c r="F899" t="s">
        <v>2835</v>
      </c>
      <c r="G899" t="s">
        <v>2836</v>
      </c>
      <c r="H899">
        <f t="shared" si="120"/>
        <v>13400000</v>
      </c>
      <c r="I899">
        <f t="shared" si="121"/>
        <v>130500</v>
      </c>
      <c r="J899">
        <f t="shared" si="122"/>
        <v>166600</v>
      </c>
      <c r="K899" s="2">
        <f t="shared" si="123"/>
        <v>9.738805970149254E-3</v>
      </c>
      <c r="L899" t="str">
        <f t="shared" si="124"/>
        <v>Tier 2</v>
      </c>
    </row>
    <row r="900" spans="1:12" x14ac:dyDescent="0.35">
      <c r="A900" s="1" t="s">
        <v>2837</v>
      </c>
      <c r="B900">
        <v>936</v>
      </c>
      <c r="C900" t="s">
        <v>305</v>
      </c>
      <c r="D900" t="s">
        <v>620</v>
      </c>
      <c r="E900" t="s">
        <v>265</v>
      </c>
      <c r="F900" t="s">
        <v>2352</v>
      </c>
      <c r="G900" t="s">
        <v>2838</v>
      </c>
      <c r="H900">
        <f t="shared" si="120"/>
        <v>8500000</v>
      </c>
      <c r="I900">
        <f t="shared" si="121"/>
        <v>220000</v>
      </c>
      <c r="J900">
        <f t="shared" si="122"/>
        <v>264700</v>
      </c>
      <c r="K900" s="2">
        <f t="shared" si="123"/>
        <v>2.5882352941176471E-2</v>
      </c>
      <c r="L900" t="str">
        <f t="shared" si="124"/>
        <v>Tier 1</v>
      </c>
    </row>
    <row r="901" spans="1:12" x14ac:dyDescent="0.35">
      <c r="A901" s="1" t="s">
        <v>2839</v>
      </c>
      <c r="B901">
        <v>937</v>
      </c>
      <c r="C901" t="s">
        <v>69</v>
      </c>
      <c r="D901" t="s">
        <v>1260</v>
      </c>
      <c r="E901" t="s">
        <v>10</v>
      </c>
      <c r="F901" t="s">
        <v>2034</v>
      </c>
      <c r="G901" t="s">
        <v>2840</v>
      </c>
      <c r="H901">
        <f t="shared" si="120"/>
        <v>8100000</v>
      </c>
      <c r="I901">
        <f t="shared" si="121"/>
        <v>258500</v>
      </c>
      <c r="J901">
        <f t="shared" si="122"/>
        <v>278400</v>
      </c>
      <c r="K901" s="2">
        <f t="shared" si="123"/>
        <v>3.1913580246913577E-2</v>
      </c>
      <c r="L901" t="str">
        <f t="shared" si="124"/>
        <v>Tier 1</v>
      </c>
    </row>
    <row r="902" spans="1:12" x14ac:dyDescent="0.35">
      <c r="A902" s="1" t="s">
        <v>2841</v>
      </c>
      <c r="B902">
        <v>938</v>
      </c>
      <c r="C902" t="s">
        <v>2842</v>
      </c>
      <c r="D902" t="s">
        <v>649</v>
      </c>
      <c r="E902" t="s">
        <v>58</v>
      </c>
      <c r="F902" t="s">
        <v>2843</v>
      </c>
      <c r="G902" t="s">
        <v>2844</v>
      </c>
      <c r="H902">
        <f t="shared" si="120"/>
        <v>10700000</v>
      </c>
      <c r="I902">
        <f t="shared" si="121"/>
        <v>168800</v>
      </c>
      <c r="J902">
        <f t="shared" si="122"/>
        <v>206100</v>
      </c>
      <c r="K902" s="2">
        <f t="shared" si="123"/>
        <v>1.5775700934579438E-2</v>
      </c>
      <c r="L902" t="str">
        <f t="shared" si="124"/>
        <v>Tier 2</v>
      </c>
    </row>
    <row r="903" spans="1:12" x14ac:dyDescent="0.35">
      <c r="A903" s="1" t="s">
        <v>2845</v>
      </c>
      <c r="B903">
        <v>939</v>
      </c>
      <c r="C903" t="s">
        <v>330</v>
      </c>
      <c r="D903" t="s">
        <v>63</v>
      </c>
      <c r="E903" t="s">
        <v>10</v>
      </c>
      <c r="F903" t="s">
        <v>2846</v>
      </c>
      <c r="G903" t="s">
        <v>2847</v>
      </c>
      <c r="H903">
        <f t="shared" si="120"/>
        <v>7000000</v>
      </c>
      <c r="I903">
        <f t="shared" si="121"/>
        <v>252400</v>
      </c>
      <c r="J903">
        <f t="shared" si="122"/>
        <v>321200</v>
      </c>
      <c r="K903" s="2">
        <f t="shared" si="123"/>
        <v>3.6057142857142857E-2</v>
      </c>
      <c r="L903" t="str">
        <f t="shared" si="124"/>
        <v>Tier 1</v>
      </c>
    </row>
    <row r="904" spans="1:12" x14ac:dyDescent="0.35">
      <c r="A904" s="1" t="s">
        <v>2848</v>
      </c>
      <c r="B904">
        <v>940</v>
      </c>
      <c r="D904" t="s">
        <v>110</v>
      </c>
      <c r="E904" t="s">
        <v>42</v>
      </c>
      <c r="F904" t="s">
        <v>2849</v>
      </c>
      <c r="G904" t="s">
        <v>2850</v>
      </c>
      <c r="H904">
        <f t="shared" si="120"/>
        <v>4000000</v>
      </c>
      <c r="I904">
        <f t="shared" si="121"/>
        <v>236100</v>
      </c>
      <c r="J904">
        <f t="shared" si="122"/>
        <v>561700</v>
      </c>
      <c r="K904" s="2">
        <f t="shared" si="123"/>
        <v>5.9025000000000001E-2</v>
      </c>
      <c r="L904" t="str">
        <f t="shared" si="124"/>
        <v>Tier 1</v>
      </c>
    </row>
    <row r="905" spans="1:12" x14ac:dyDescent="0.35">
      <c r="A905" s="1" t="s">
        <v>2851</v>
      </c>
      <c r="B905">
        <v>942</v>
      </c>
      <c r="C905" t="s">
        <v>364</v>
      </c>
      <c r="D905" t="s">
        <v>588</v>
      </c>
      <c r="E905" t="s">
        <v>252</v>
      </c>
      <c r="F905" t="s">
        <v>2683</v>
      </c>
      <c r="G905" t="s">
        <v>2852</v>
      </c>
      <c r="H905">
        <f t="shared" si="120"/>
        <v>9800000</v>
      </c>
      <c r="I905">
        <f t="shared" si="121"/>
        <v>185800</v>
      </c>
      <c r="J905">
        <f t="shared" si="122"/>
        <v>230900</v>
      </c>
      <c r="K905" s="2">
        <f t="shared" si="123"/>
        <v>1.8959183673469389E-2</v>
      </c>
      <c r="L905" t="str">
        <f t="shared" si="124"/>
        <v>Tier 1</v>
      </c>
    </row>
    <row r="906" spans="1:12" x14ac:dyDescent="0.35">
      <c r="A906" s="1" t="s">
        <v>2853</v>
      </c>
      <c r="B906">
        <v>943</v>
      </c>
      <c r="C906" t="s">
        <v>76</v>
      </c>
      <c r="D906" t="s">
        <v>651</v>
      </c>
      <c r="E906" t="s">
        <v>2854</v>
      </c>
      <c r="F906" t="s">
        <v>2855</v>
      </c>
      <c r="G906" t="s">
        <v>2856</v>
      </c>
      <c r="H906">
        <f t="shared" si="120"/>
        <v>10300000</v>
      </c>
      <c r="I906">
        <f t="shared" si="121"/>
        <v>147500</v>
      </c>
      <c r="J906">
        <f t="shared" si="122"/>
        <v>212900</v>
      </c>
      <c r="K906" s="2">
        <f t="shared" si="123"/>
        <v>1.4320388349514563E-2</v>
      </c>
      <c r="L906" t="str">
        <f t="shared" si="124"/>
        <v>Tier 2</v>
      </c>
    </row>
    <row r="907" spans="1:12" x14ac:dyDescent="0.35">
      <c r="A907" s="1" t="s">
        <v>2857</v>
      </c>
      <c r="B907">
        <v>944</v>
      </c>
      <c r="C907" t="s">
        <v>590</v>
      </c>
      <c r="D907" t="s">
        <v>2858</v>
      </c>
      <c r="E907" t="s">
        <v>22</v>
      </c>
      <c r="F907" t="s">
        <v>2859</v>
      </c>
      <c r="G907" t="s">
        <v>1309</v>
      </c>
      <c r="H907">
        <f t="shared" si="120"/>
        <v>17800000</v>
      </c>
      <c r="I907">
        <f t="shared" si="121"/>
        <v>102800</v>
      </c>
      <c r="J907">
        <f t="shared" si="122"/>
        <v>123400</v>
      </c>
      <c r="K907" s="2">
        <f t="shared" si="123"/>
        <v>5.7752808988764046E-3</v>
      </c>
      <c r="L907" t="str">
        <f t="shared" si="124"/>
        <v>Tier 2</v>
      </c>
    </row>
    <row r="908" spans="1:12" x14ac:dyDescent="0.35">
      <c r="A908" s="1" t="s">
        <v>2860</v>
      </c>
      <c r="B908">
        <v>945</v>
      </c>
      <c r="C908" t="s">
        <v>1062</v>
      </c>
      <c r="D908" t="s">
        <v>2234</v>
      </c>
      <c r="E908" t="s">
        <v>58</v>
      </c>
      <c r="F908" t="s">
        <v>1700</v>
      </c>
      <c r="G908" t="s">
        <v>2861</v>
      </c>
      <c r="H908">
        <f t="shared" si="120"/>
        <v>21500000</v>
      </c>
      <c r="I908">
        <f t="shared" si="121"/>
        <v>73600</v>
      </c>
      <c r="J908">
        <f t="shared" si="122"/>
        <v>101400</v>
      </c>
      <c r="K908" s="2">
        <f t="shared" si="123"/>
        <v>3.4232558139534884E-3</v>
      </c>
      <c r="L908" t="str">
        <f t="shared" si="124"/>
        <v>Tier 2</v>
      </c>
    </row>
    <row r="909" spans="1:12" x14ac:dyDescent="0.35">
      <c r="A909" s="1" t="s">
        <v>2862</v>
      </c>
      <c r="B909">
        <v>946</v>
      </c>
      <c r="C909" t="s">
        <v>814</v>
      </c>
      <c r="D909" t="s">
        <v>1517</v>
      </c>
      <c r="E909" t="s">
        <v>279</v>
      </c>
      <c r="F909" t="s">
        <v>2863</v>
      </c>
      <c r="G909" t="s">
        <v>2864</v>
      </c>
      <c r="H909">
        <f t="shared" si="120"/>
        <v>7400000</v>
      </c>
      <c r="I909">
        <f t="shared" si="121"/>
        <v>247300</v>
      </c>
      <c r="J909">
        <f t="shared" si="122"/>
        <v>297800</v>
      </c>
      <c r="K909" s="2">
        <f t="shared" si="123"/>
        <v>3.3418918918918919E-2</v>
      </c>
      <c r="L909" t="str">
        <f t="shared" si="124"/>
        <v>Tier 1</v>
      </c>
    </row>
    <row r="910" spans="1:12" x14ac:dyDescent="0.35">
      <c r="A910" s="1" t="s">
        <v>2865</v>
      </c>
      <c r="B910">
        <v>947</v>
      </c>
      <c r="C910" t="s">
        <v>2866</v>
      </c>
      <c r="D910" t="s">
        <v>1311</v>
      </c>
      <c r="E910" t="s">
        <v>22</v>
      </c>
      <c r="F910" t="s">
        <v>2867</v>
      </c>
      <c r="G910" t="s">
        <v>2868</v>
      </c>
      <c r="H910">
        <f t="shared" si="120"/>
        <v>5100000</v>
      </c>
      <c r="I910">
        <f t="shared" si="121"/>
        <v>310900</v>
      </c>
      <c r="J910">
        <f t="shared" si="122"/>
        <v>438100</v>
      </c>
      <c r="K910" s="2">
        <f t="shared" si="123"/>
        <v>6.0960784313725487E-2</v>
      </c>
      <c r="L910" t="str">
        <f t="shared" si="124"/>
        <v>Tier 1</v>
      </c>
    </row>
    <row r="911" spans="1:12" x14ac:dyDescent="0.35">
      <c r="A911" s="1" t="s">
        <v>2869</v>
      </c>
      <c r="B911">
        <v>948</v>
      </c>
      <c r="C911" t="s">
        <v>69</v>
      </c>
      <c r="D911" t="s">
        <v>2870</v>
      </c>
      <c r="E911" t="s">
        <v>42</v>
      </c>
      <c r="F911" t="s">
        <v>2871</v>
      </c>
      <c r="G911" t="s">
        <v>2872</v>
      </c>
      <c r="H911">
        <f t="shared" si="120"/>
        <v>11200000</v>
      </c>
      <c r="I911">
        <f t="shared" si="121"/>
        <v>119200</v>
      </c>
      <c r="J911">
        <f t="shared" si="122"/>
        <v>197200</v>
      </c>
      <c r="K911" s="2">
        <f t="shared" si="123"/>
        <v>1.0642857142857143E-2</v>
      </c>
      <c r="L911" t="str">
        <f t="shared" si="124"/>
        <v>Tier 2</v>
      </c>
    </row>
    <row r="912" spans="1:12" x14ac:dyDescent="0.35">
      <c r="A912" s="1" t="s">
        <v>2873</v>
      </c>
      <c r="B912">
        <v>949</v>
      </c>
      <c r="C912" t="s">
        <v>8</v>
      </c>
      <c r="D912" t="s">
        <v>1101</v>
      </c>
      <c r="E912" t="s">
        <v>22</v>
      </c>
      <c r="F912" t="s">
        <v>2874</v>
      </c>
      <c r="G912" t="s">
        <v>2264</v>
      </c>
      <c r="H912">
        <f t="shared" si="120"/>
        <v>11600000</v>
      </c>
      <c r="I912">
        <f t="shared" si="121"/>
        <v>109800</v>
      </c>
      <c r="J912">
        <f t="shared" si="122"/>
        <v>188400</v>
      </c>
      <c r="K912" s="2">
        <f t="shared" si="123"/>
        <v>9.4655172413793103E-3</v>
      </c>
      <c r="L912" t="str">
        <f t="shared" si="124"/>
        <v>Tier 2</v>
      </c>
    </row>
    <row r="913" spans="1:12" x14ac:dyDescent="0.35">
      <c r="A913" s="1" t="s">
        <v>2875</v>
      </c>
      <c r="B913">
        <v>950</v>
      </c>
      <c r="C913" t="s">
        <v>83</v>
      </c>
      <c r="D913" t="s">
        <v>677</v>
      </c>
      <c r="E913" t="s">
        <v>22</v>
      </c>
      <c r="F913" t="s">
        <v>2642</v>
      </c>
      <c r="G913" t="s">
        <v>2876</v>
      </c>
      <c r="H913">
        <f t="shared" si="120"/>
        <v>14600000</v>
      </c>
      <c r="I913">
        <f t="shared" si="121"/>
        <v>102000</v>
      </c>
      <c r="J913">
        <f t="shared" si="122"/>
        <v>149300</v>
      </c>
      <c r="K913" s="2">
        <f t="shared" si="123"/>
        <v>6.9863013698630138E-3</v>
      </c>
      <c r="L913" t="str">
        <f t="shared" si="124"/>
        <v>Tier 2</v>
      </c>
    </row>
    <row r="914" spans="1:12" x14ac:dyDescent="0.35">
      <c r="A914" s="1" t="s">
        <v>2877</v>
      </c>
      <c r="B914">
        <v>952</v>
      </c>
      <c r="C914" t="s">
        <v>69</v>
      </c>
      <c r="D914" t="s">
        <v>466</v>
      </c>
      <c r="E914" t="s">
        <v>42</v>
      </c>
      <c r="F914" t="s">
        <v>2878</v>
      </c>
      <c r="G914" t="s">
        <v>1928</v>
      </c>
      <c r="H914">
        <f t="shared" si="120"/>
        <v>16800000</v>
      </c>
      <c r="I914">
        <f t="shared" si="121"/>
        <v>77800</v>
      </c>
      <c r="J914">
        <f t="shared" si="122"/>
        <v>129199.99999999999</v>
      </c>
      <c r="K914" s="2">
        <f t="shared" si="123"/>
        <v>4.6309523809523806E-3</v>
      </c>
      <c r="L914" t="str">
        <f t="shared" si="124"/>
        <v>Tier 2</v>
      </c>
    </row>
    <row r="915" spans="1:12" x14ac:dyDescent="0.35">
      <c r="A915" s="1" t="s">
        <v>2879</v>
      </c>
      <c r="B915">
        <v>953</v>
      </c>
      <c r="C915" t="s">
        <v>550</v>
      </c>
      <c r="D915" t="s">
        <v>1297</v>
      </c>
      <c r="E915" t="s">
        <v>58</v>
      </c>
      <c r="F915" t="s">
        <v>2880</v>
      </c>
      <c r="G915" t="s">
        <v>2881</v>
      </c>
      <c r="H915">
        <f t="shared" si="120"/>
        <v>13900000</v>
      </c>
      <c r="I915">
        <f t="shared" si="121"/>
        <v>119300</v>
      </c>
      <c r="J915">
        <f t="shared" si="122"/>
        <v>155900</v>
      </c>
      <c r="K915" s="2">
        <f t="shared" si="123"/>
        <v>8.5827338129496403E-3</v>
      </c>
      <c r="L915" t="str">
        <f t="shared" si="124"/>
        <v>Tier 2</v>
      </c>
    </row>
    <row r="916" spans="1:12" x14ac:dyDescent="0.35">
      <c r="A916" s="1" t="s">
        <v>2882</v>
      </c>
      <c r="B916">
        <v>954</v>
      </c>
      <c r="C916" t="s">
        <v>26</v>
      </c>
      <c r="D916" t="s">
        <v>1297</v>
      </c>
      <c r="E916" t="s">
        <v>22</v>
      </c>
      <c r="F916" t="s">
        <v>1573</v>
      </c>
      <c r="G916" t="s">
        <v>2881</v>
      </c>
      <c r="H916">
        <f t="shared" si="120"/>
        <v>13900000</v>
      </c>
      <c r="I916">
        <f t="shared" si="121"/>
        <v>109300</v>
      </c>
      <c r="J916">
        <f t="shared" si="122"/>
        <v>155900</v>
      </c>
      <c r="K916" s="2">
        <f t="shared" si="123"/>
        <v>7.8633093525179859E-3</v>
      </c>
      <c r="L916" t="str">
        <f t="shared" si="124"/>
        <v>Tier 2</v>
      </c>
    </row>
    <row r="917" spans="1:12" x14ac:dyDescent="0.35">
      <c r="A917" s="1" t="s">
        <v>2883</v>
      </c>
      <c r="B917">
        <v>955</v>
      </c>
      <c r="C917" t="s">
        <v>2884</v>
      </c>
      <c r="D917" t="s">
        <v>115</v>
      </c>
      <c r="E917" t="s">
        <v>22</v>
      </c>
      <c r="F917" t="s">
        <v>2885</v>
      </c>
      <c r="G917" t="s">
        <v>2886</v>
      </c>
      <c r="H917">
        <f t="shared" si="120"/>
        <v>6900000</v>
      </c>
      <c r="I917">
        <f t="shared" si="121"/>
        <v>225800</v>
      </c>
      <c r="J917">
        <f t="shared" si="122"/>
        <v>316700</v>
      </c>
      <c r="K917" s="2">
        <f t="shared" si="123"/>
        <v>3.2724637681159421E-2</v>
      </c>
      <c r="L917" t="str">
        <f t="shared" si="124"/>
        <v>Tier 1</v>
      </c>
    </row>
    <row r="918" spans="1:12" x14ac:dyDescent="0.35">
      <c r="A918" s="1" t="s">
        <v>2887</v>
      </c>
      <c r="B918">
        <v>956</v>
      </c>
      <c r="C918" t="s">
        <v>313</v>
      </c>
      <c r="D918" t="s">
        <v>2888</v>
      </c>
      <c r="E918" t="s">
        <v>22</v>
      </c>
      <c r="F918" t="s">
        <v>2889</v>
      </c>
      <c r="G918" t="s">
        <v>2890</v>
      </c>
      <c r="H918">
        <f t="shared" si="120"/>
        <v>19700000</v>
      </c>
      <c r="I918">
        <f t="shared" si="121"/>
        <v>82500</v>
      </c>
      <c r="J918">
        <f t="shared" si="122"/>
        <v>109700</v>
      </c>
      <c r="K918" s="2">
        <f t="shared" si="123"/>
        <v>4.187817258883249E-3</v>
      </c>
      <c r="L918" t="str">
        <f t="shared" si="124"/>
        <v>Tier 2</v>
      </c>
    </row>
    <row r="919" spans="1:12" x14ac:dyDescent="0.35">
      <c r="A919" s="1" t="s">
        <v>2891</v>
      </c>
      <c r="B919">
        <v>957</v>
      </c>
      <c r="C919" t="s">
        <v>2892</v>
      </c>
      <c r="D919" t="s">
        <v>1785</v>
      </c>
      <c r="E919" t="s">
        <v>42</v>
      </c>
      <c r="F919" t="s">
        <v>2893</v>
      </c>
      <c r="G919" t="s">
        <v>2894</v>
      </c>
      <c r="H919">
        <f t="shared" si="120"/>
        <v>4700000</v>
      </c>
      <c r="I919">
        <f t="shared" si="121"/>
        <v>399600</v>
      </c>
      <c r="J919">
        <f t="shared" si="122"/>
        <v>479500</v>
      </c>
      <c r="K919" s="2">
        <f t="shared" si="123"/>
        <v>8.5021276595744683E-2</v>
      </c>
      <c r="L919" t="str">
        <f t="shared" si="124"/>
        <v>Tier 1</v>
      </c>
    </row>
    <row r="920" spans="1:12" x14ac:dyDescent="0.35">
      <c r="A920" s="1" t="s">
        <v>2895</v>
      </c>
      <c r="B920">
        <v>958</v>
      </c>
      <c r="C920" t="s">
        <v>76</v>
      </c>
      <c r="D920" t="s">
        <v>543</v>
      </c>
      <c r="E920" t="s">
        <v>58</v>
      </c>
      <c r="F920" t="s">
        <v>2896</v>
      </c>
      <c r="G920" t="s">
        <v>2897</v>
      </c>
      <c r="H920">
        <f t="shared" si="120"/>
        <v>13600000</v>
      </c>
      <c r="I920">
        <f t="shared" si="121"/>
        <v>112900</v>
      </c>
      <c r="J920">
        <f t="shared" si="122"/>
        <v>159000</v>
      </c>
      <c r="K920" s="2">
        <f t="shared" si="123"/>
        <v>8.3014705882352938E-3</v>
      </c>
      <c r="L920" t="str">
        <f t="shared" si="124"/>
        <v>Tier 2</v>
      </c>
    </row>
    <row r="921" spans="1:12" x14ac:dyDescent="0.35">
      <c r="A921" s="1" t="s">
        <v>2898</v>
      </c>
      <c r="B921">
        <v>959</v>
      </c>
      <c r="C921" t="s">
        <v>313</v>
      </c>
      <c r="D921" t="s">
        <v>2354</v>
      </c>
      <c r="E921" t="s">
        <v>22</v>
      </c>
      <c r="F921" t="s">
        <v>2899</v>
      </c>
      <c r="G921" t="s">
        <v>2900</v>
      </c>
      <c r="H921">
        <f t="shared" si="120"/>
        <v>7700000</v>
      </c>
      <c r="I921">
        <f t="shared" si="121"/>
        <v>190200</v>
      </c>
      <c r="J921">
        <f t="shared" si="122"/>
        <v>283900</v>
      </c>
      <c r="K921" s="2">
        <f t="shared" si="123"/>
        <v>2.47012987012987E-2</v>
      </c>
      <c r="L921" t="str">
        <f t="shared" si="124"/>
        <v>Tier 1</v>
      </c>
    </row>
    <row r="922" spans="1:12" x14ac:dyDescent="0.35">
      <c r="A922" s="1" t="s">
        <v>2901</v>
      </c>
      <c r="B922">
        <v>960</v>
      </c>
      <c r="C922" t="s">
        <v>2902</v>
      </c>
      <c r="D922" t="s">
        <v>196</v>
      </c>
      <c r="E922" t="s">
        <v>10</v>
      </c>
      <c r="F922" t="s">
        <v>2903</v>
      </c>
      <c r="G922" t="s">
        <v>2904</v>
      </c>
      <c r="H922">
        <f t="shared" si="120"/>
        <v>2600000</v>
      </c>
      <c r="I922">
        <f t="shared" si="121"/>
        <v>675100</v>
      </c>
      <c r="J922">
        <f t="shared" si="122"/>
        <v>840600</v>
      </c>
      <c r="K922" s="2">
        <f t="shared" si="123"/>
        <v>0.25965384615384618</v>
      </c>
      <c r="L922" t="str">
        <f t="shared" si="124"/>
        <v>Tier 1</v>
      </c>
    </row>
    <row r="923" spans="1:12" x14ac:dyDescent="0.35">
      <c r="A923" s="1" t="s">
        <v>2905</v>
      </c>
      <c r="B923">
        <v>961</v>
      </c>
      <c r="C923" t="s">
        <v>2906</v>
      </c>
      <c r="D923" t="s">
        <v>390</v>
      </c>
      <c r="E923" t="s">
        <v>10</v>
      </c>
      <c r="F923" t="s">
        <v>2907</v>
      </c>
      <c r="G923" t="s">
        <v>2908</v>
      </c>
      <c r="H923">
        <f t="shared" si="120"/>
        <v>27800000</v>
      </c>
      <c r="I923">
        <f t="shared" si="121"/>
        <v>57900</v>
      </c>
      <c r="J923">
        <f t="shared" si="122"/>
        <v>77300</v>
      </c>
      <c r="K923" s="2">
        <f t="shared" si="123"/>
        <v>2.0827338129496401E-3</v>
      </c>
      <c r="L923" t="str">
        <f t="shared" si="124"/>
        <v>Tier 2</v>
      </c>
    </row>
    <row r="924" spans="1:12" x14ac:dyDescent="0.35">
      <c r="A924" s="1" t="s">
        <v>2909</v>
      </c>
      <c r="B924">
        <v>962</v>
      </c>
      <c r="C924" t="s">
        <v>590</v>
      </c>
      <c r="D924" t="s">
        <v>401</v>
      </c>
      <c r="E924" t="s">
        <v>10</v>
      </c>
      <c r="F924" t="s">
        <v>2910</v>
      </c>
      <c r="G924" t="s">
        <v>2829</v>
      </c>
      <c r="H924">
        <f t="shared" si="120"/>
        <v>20400000</v>
      </c>
      <c r="I924">
        <f t="shared" si="121"/>
        <v>92000</v>
      </c>
      <c r="J924">
        <f t="shared" si="122"/>
        <v>105900</v>
      </c>
      <c r="K924" s="2">
        <f t="shared" si="123"/>
        <v>4.5098039215686276E-3</v>
      </c>
      <c r="L924" t="str">
        <f t="shared" si="124"/>
        <v>Tier 2</v>
      </c>
    </row>
    <row r="925" spans="1:12" x14ac:dyDescent="0.35">
      <c r="A925" s="1" t="s">
        <v>2911</v>
      </c>
      <c r="B925">
        <v>963</v>
      </c>
      <c r="C925" t="s">
        <v>1564</v>
      </c>
      <c r="D925" t="s">
        <v>796</v>
      </c>
      <c r="E925" t="s">
        <v>265</v>
      </c>
      <c r="F925" t="s">
        <v>2912</v>
      </c>
      <c r="G925" t="s">
        <v>1285</v>
      </c>
      <c r="H925">
        <f t="shared" si="120"/>
        <v>13800000</v>
      </c>
      <c r="I925">
        <f t="shared" si="121"/>
        <v>133200</v>
      </c>
      <c r="J925">
        <f t="shared" si="122"/>
        <v>155500</v>
      </c>
      <c r="K925" s="2">
        <f t="shared" si="123"/>
        <v>9.6521739130434776E-3</v>
      </c>
      <c r="L925" t="str">
        <f t="shared" si="124"/>
        <v>Tier 2</v>
      </c>
    </row>
    <row r="926" spans="1:12" x14ac:dyDescent="0.35">
      <c r="A926" s="1" t="s">
        <v>2913</v>
      </c>
      <c r="B926">
        <v>964</v>
      </c>
      <c r="C926" t="s">
        <v>69</v>
      </c>
      <c r="D926" t="s">
        <v>1125</v>
      </c>
      <c r="E926" t="s">
        <v>10</v>
      </c>
      <c r="F926" t="s">
        <v>2555</v>
      </c>
      <c r="G926" t="s">
        <v>2914</v>
      </c>
      <c r="H926">
        <f t="shared" si="120"/>
        <v>17200000</v>
      </c>
      <c r="I926">
        <f t="shared" si="121"/>
        <v>102100</v>
      </c>
      <c r="J926">
        <f t="shared" si="122"/>
        <v>125300</v>
      </c>
      <c r="K926" s="2">
        <f t="shared" si="123"/>
        <v>5.9360465116279071E-3</v>
      </c>
      <c r="L926" t="str">
        <f t="shared" si="124"/>
        <v>Tier 2</v>
      </c>
    </row>
    <row r="927" spans="1:12" x14ac:dyDescent="0.35">
      <c r="A927" s="1" t="s">
        <v>2915</v>
      </c>
      <c r="B927">
        <v>965</v>
      </c>
      <c r="C927" t="s">
        <v>2916</v>
      </c>
      <c r="D927" t="s">
        <v>151</v>
      </c>
      <c r="E927" t="s">
        <v>10</v>
      </c>
      <c r="F927" t="s">
        <v>2917</v>
      </c>
      <c r="G927" t="s">
        <v>2918</v>
      </c>
      <c r="H927">
        <f t="shared" si="120"/>
        <v>3500000</v>
      </c>
      <c r="I927">
        <f t="shared" si="121"/>
        <v>527900</v>
      </c>
      <c r="J927">
        <f t="shared" si="122"/>
        <v>624400</v>
      </c>
      <c r="K927" s="2">
        <f t="shared" si="123"/>
        <v>0.15082857142857142</v>
      </c>
      <c r="L927" t="str">
        <f t="shared" si="124"/>
        <v>Tier 1</v>
      </c>
    </row>
    <row r="928" spans="1:12" x14ac:dyDescent="0.35">
      <c r="A928" s="1" t="s">
        <v>2919</v>
      </c>
      <c r="B928">
        <v>966</v>
      </c>
      <c r="C928" t="s">
        <v>31</v>
      </c>
      <c r="D928" t="s">
        <v>2920</v>
      </c>
      <c r="E928" t="s">
        <v>256</v>
      </c>
      <c r="F928" t="s">
        <v>1845</v>
      </c>
      <c r="G928" t="s">
        <v>1524</v>
      </c>
      <c r="H928">
        <f t="shared" si="120"/>
        <v>15800000</v>
      </c>
      <c r="I928">
        <f t="shared" si="121"/>
        <v>100500</v>
      </c>
      <c r="J928">
        <f t="shared" si="122"/>
        <v>134500</v>
      </c>
      <c r="K928" s="2">
        <f t="shared" si="123"/>
        <v>6.360759493670886E-3</v>
      </c>
      <c r="L928" t="str">
        <f t="shared" si="124"/>
        <v>Tier 2</v>
      </c>
    </row>
    <row r="929" spans="1:12" x14ac:dyDescent="0.35">
      <c r="A929" s="1" t="s">
        <v>2921</v>
      </c>
      <c r="B929">
        <v>967</v>
      </c>
      <c r="C929" t="s">
        <v>8</v>
      </c>
      <c r="D929" t="s">
        <v>543</v>
      </c>
      <c r="E929" t="s">
        <v>42</v>
      </c>
      <c r="F929" t="s">
        <v>2922</v>
      </c>
      <c r="G929" t="s">
        <v>2923</v>
      </c>
      <c r="H929">
        <f t="shared" si="120"/>
        <v>13600000</v>
      </c>
      <c r="I929">
        <f t="shared" si="121"/>
        <v>104700</v>
      </c>
      <c r="J929">
        <f t="shared" si="122"/>
        <v>156100</v>
      </c>
      <c r="K929" s="2">
        <f t="shared" si="123"/>
        <v>7.6985294117647056E-3</v>
      </c>
      <c r="L929" t="str">
        <f t="shared" si="124"/>
        <v>Tier 2</v>
      </c>
    </row>
    <row r="930" spans="1:12" x14ac:dyDescent="0.35">
      <c r="A930" s="1" t="s">
        <v>2924</v>
      </c>
      <c r="B930">
        <v>968</v>
      </c>
      <c r="C930" t="s">
        <v>69</v>
      </c>
      <c r="D930" t="s">
        <v>1202</v>
      </c>
      <c r="E930" t="s">
        <v>10</v>
      </c>
      <c r="F930" t="s">
        <v>2925</v>
      </c>
      <c r="G930" t="s">
        <v>2578</v>
      </c>
      <c r="H930">
        <f t="shared" si="120"/>
        <v>12200000</v>
      </c>
      <c r="I930">
        <f t="shared" si="121"/>
        <v>126800</v>
      </c>
      <c r="J930">
        <f t="shared" si="122"/>
        <v>173700</v>
      </c>
      <c r="K930" s="2">
        <f t="shared" si="123"/>
        <v>1.039344262295082E-2</v>
      </c>
      <c r="L930" t="str">
        <f t="shared" si="124"/>
        <v>Tier 2</v>
      </c>
    </row>
    <row r="931" spans="1:12" x14ac:dyDescent="0.35">
      <c r="A931" s="1" t="s">
        <v>2926</v>
      </c>
      <c r="B931">
        <v>969</v>
      </c>
      <c r="C931" t="s">
        <v>26</v>
      </c>
      <c r="D931" t="s">
        <v>97</v>
      </c>
      <c r="E931" t="s">
        <v>22</v>
      </c>
      <c r="F931" t="s">
        <v>2927</v>
      </c>
      <c r="G931" t="s">
        <v>2928</v>
      </c>
      <c r="H931">
        <f t="shared" si="120"/>
        <v>3100000</v>
      </c>
      <c r="I931">
        <f t="shared" si="121"/>
        <v>539900</v>
      </c>
      <c r="J931">
        <f t="shared" si="122"/>
        <v>692200</v>
      </c>
      <c r="K931" s="2">
        <f t="shared" si="123"/>
        <v>0.17416129032258065</v>
      </c>
      <c r="L931" t="str">
        <f t="shared" si="124"/>
        <v>Tier 1</v>
      </c>
    </row>
    <row r="932" spans="1:12" x14ac:dyDescent="0.35">
      <c r="A932" s="1" t="s">
        <v>2929</v>
      </c>
      <c r="B932">
        <v>970</v>
      </c>
      <c r="C932" t="s">
        <v>546</v>
      </c>
      <c r="D932" t="s">
        <v>2930</v>
      </c>
      <c r="E932" t="s">
        <v>22</v>
      </c>
      <c r="F932" t="s">
        <v>2931</v>
      </c>
      <c r="G932" t="s">
        <v>2932</v>
      </c>
      <c r="H932">
        <f t="shared" si="120"/>
        <v>24800000</v>
      </c>
      <c r="I932">
        <f t="shared" si="121"/>
        <v>60900</v>
      </c>
      <c r="J932">
        <f t="shared" si="122"/>
        <v>85500</v>
      </c>
      <c r="K932" s="2">
        <f t="shared" si="123"/>
        <v>2.4556451612903225E-3</v>
      </c>
      <c r="L932" t="str">
        <f t="shared" si="124"/>
        <v>Tier 2</v>
      </c>
    </row>
    <row r="933" spans="1:12" x14ac:dyDescent="0.35">
      <c r="A933" s="1" t="s">
        <v>2933</v>
      </c>
      <c r="B933">
        <v>971</v>
      </c>
      <c r="C933" t="s">
        <v>814</v>
      </c>
      <c r="D933" t="s">
        <v>1316</v>
      </c>
      <c r="E933" t="s">
        <v>22</v>
      </c>
      <c r="F933" t="s">
        <v>2934</v>
      </c>
      <c r="G933" t="s">
        <v>2935</v>
      </c>
      <c r="H933">
        <f t="shared" si="120"/>
        <v>7900000</v>
      </c>
      <c r="I933">
        <f t="shared" si="121"/>
        <v>233500</v>
      </c>
      <c r="J933">
        <f t="shared" si="122"/>
        <v>271000</v>
      </c>
      <c r="K933" s="2">
        <f t="shared" si="123"/>
        <v>2.9556962025316456E-2</v>
      </c>
      <c r="L933" t="str">
        <f t="shared" si="124"/>
        <v>Tier 1</v>
      </c>
    </row>
    <row r="934" spans="1:12" x14ac:dyDescent="0.35">
      <c r="A934" s="1" t="s">
        <v>2936</v>
      </c>
      <c r="B934">
        <v>972</v>
      </c>
      <c r="D934" t="s">
        <v>43</v>
      </c>
      <c r="E934" t="s">
        <v>114</v>
      </c>
      <c r="F934" t="s">
        <v>2937</v>
      </c>
      <c r="G934" t="s">
        <v>2938</v>
      </c>
      <c r="H934">
        <f t="shared" si="120"/>
        <v>3200000</v>
      </c>
      <c r="I934">
        <f t="shared" si="121"/>
        <v>566700</v>
      </c>
      <c r="J934">
        <f t="shared" si="122"/>
        <v>665100</v>
      </c>
      <c r="K934" s="2">
        <f t="shared" si="123"/>
        <v>0.17709374999999999</v>
      </c>
      <c r="L934" t="str">
        <f t="shared" si="124"/>
        <v>Tier 1</v>
      </c>
    </row>
    <row r="935" spans="1:12" x14ac:dyDescent="0.35">
      <c r="A935" s="1" t="s">
        <v>2939</v>
      </c>
      <c r="B935">
        <v>973</v>
      </c>
      <c r="C935" t="s">
        <v>834</v>
      </c>
      <c r="D935" t="s">
        <v>588</v>
      </c>
      <c r="E935" t="s">
        <v>42</v>
      </c>
      <c r="F935" t="s">
        <v>2940</v>
      </c>
      <c r="G935" t="s">
        <v>2607</v>
      </c>
      <c r="H935">
        <f t="shared" si="120"/>
        <v>9800000</v>
      </c>
      <c r="I935">
        <f t="shared" si="121"/>
        <v>127800</v>
      </c>
      <c r="J935">
        <f t="shared" si="122"/>
        <v>218900</v>
      </c>
      <c r="K935" s="2">
        <f t="shared" si="123"/>
        <v>1.3040816326530612E-2</v>
      </c>
      <c r="L935" t="str">
        <f t="shared" si="124"/>
        <v>Tier 1</v>
      </c>
    </row>
    <row r="936" spans="1:12" x14ac:dyDescent="0.35">
      <c r="A936" s="1" t="s">
        <v>2941</v>
      </c>
      <c r="B936">
        <v>975</v>
      </c>
      <c r="C936" t="s">
        <v>1280</v>
      </c>
      <c r="D936" t="s">
        <v>60</v>
      </c>
      <c r="E936" t="s">
        <v>22</v>
      </c>
      <c r="F936" t="s">
        <v>2594</v>
      </c>
      <c r="G936" t="s">
        <v>2942</v>
      </c>
      <c r="H936">
        <f t="shared" si="120"/>
        <v>7300000</v>
      </c>
      <c r="I936">
        <f t="shared" si="121"/>
        <v>214200</v>
      </c>
      <c r="J936">
        <f t="shared" si="122"/>
        <v>295200</v>
      </c>
      <c r="K936" s="2">
        <f t="shared" si="123"/>
        <v>2.9342465753424658E-2</v>
      </c>
      <c r="L936" t="str">
        <f t="shared" si="124"/>
        <v>Tier 1</v>
      </c>
    </row>
    <row r="937" spans="1:12" x14ac:dyDescent="0.35">
      <c r="A937" s="1" t="s">
        <v>2943</v>
      </c>
      <c r="B937">
        <v>976</v>
      </c>
      <c r="C937" t="s">
        <v>69</v>
      </c>
      <c r="D937" t="s">
        <v>913</v>
      </c>
      <c r="E937" t="s">
        <v>10</v>
      </c>
      <c r="F937" t="s">
        <v>2944</v>
      </c>
      <c r="G937" t="s">
        <v>1873</v>
      </c>
      <c r="H937">
        <f t="shared" si="120"/>
        <v>13100000</v>
      </c>
      <c r="I937">
        <f t="shared" si="121"/>
        <v>131100</v>
      </c>
      <c r="J937">
        <f t="shared" si="122"/>
        <v>160200</v>
      </c>
      <c r="K937" s="2">
        <f t="shared" si="123"/>
        <v>1.0007633587786259E-2</v>
      </c>
      <c r="L937" t="str">
        <f t="shared" si="124"/>
        <v>Tier 2</v>
      </c>
    </row>
    <row r="938" spans="1:12" x14ac:dyDescent="0.35">
      <c r="A938" s="1" t="s">
        <v>2945</v>
      </c>
      <c r="B938">
        <v>977</v>
      </c>
      <c r="C938" t="s">
        <v>364</v>
      </c>
      <c r="D938" t="s">
        <v>843</v>
      </c>
      <c r="E938" t="s">
        <v>1518</v>
      </c>
      <c r="F938" t="s">
        <v>2946</v>
      </c>
      <c r="G938" t="s">
        <v>2947</v>
      </c>
      <c r="H938">
        <f t="shared" si="120"/>
        <v>15000000</v>
      </c>
      <c r="I938">
        <f t="shared" si="121"/>
        <v>98800</v>
      </c>
      <c r="J938">
        <f t="shared" si="122"/>
        <v>140400</v>
      </c>
      <c r="K938" s="2">
        <f t="shared" si="123"/>
        <v>6.5866666666666669E-3</v>
      </c>
      <c r="L938" t="str">
        <f t="shared" si="124"/>
        <v>Tier 2</v>
      </c>
    </row>
    <row r="939" spans="1:12" x14ac:dyDescent="0.35">
      <c r="A939" s="1" t="s">
        <v>2948</v>
      </c>
      <c r="B939">
        <v>978</v>
      </c>
      <c r="C939" t="s">
        <v>2949</v>
      </c>
      <c r="D939" t="s">
        <v>190</v>
      </c>
      <c r="E939" t="s">
        <v>519</v>
      </c>
      <c r="F939" t="s">
        <v>2950</v>
      </c>
      <c r="G939" t="s">
        <v>2951</v>
      </c>
      <c r="H939">
        <f t="shared" si="120"/>
        <v>4500000</v>
      </c>
      <c r="I939">
        <f t="shared" si="121"/>
        <v>365300</v>
      </c>
      <c r="J939">
        <f t="shared" si="122"/>
        <v>481400</v>
      </c>
      <c r="K939" s="2">
        <f t="shared" si="123"/>
        <v>8.1177777777777779E-2</v>
      </c>
      <c r="L939" t="str">
        <f t="shared" si="124"/>
        <v>Tier 1</v>
      </c>
    </row>
    <row r="940" spans="1:12" x14ac:dyDescent="0.35">
      <c r="A940" s="1" t="s">
        <v>2952</v>
      </c>
      <c r="B940">
        <v>979</v>
      </c>
      <c r="C940" t="s">
        <v>1530</v>
      </c>
      <c r="D940" t="s">
        <v>59</v>
      </c>
      <c r="E940" t="s">
        <v>1643</v>
      </c>
      <c r="F940" t="s">
        <v>2953</v>
      </c>
      <c r="G940" t="s">
        <v>2954</v>
      </c>
      <c r="H940">
        <f t="shared" si="120"/>
        <v>6300000</v>
      </c>
      <c r="I940">
        <f t="shared" si="121"/>
        <v>273400</v>
      </c>
      <c r="J940">
        <f t="shared" si="122"/>
        <v>337500</v>
      </c>
      <c r="K940" s="2">
        <f t="shared" si="123"/>
        <v>4.3396825396825399E-2</v>
      </c>
      <c r="L940" t="str">
        <f t="shared" si="124"/>
        <v>Tier 1</v>
      </c>
    </row>
    <row r="941" spans="1:12" x14ac:dyDescent="0.35">
      <c r="A941" s="1" t="s">
        <v>2955</v>
      </c>
      <c r="B941">
        <v>980</v>
      </c>
      <c r="C941" t="s">
        <v>3012</v>
      </c>
      <c r="D941" t="s">
        <v>945</v>
      </c>
      <c r="E941" t="s">
        <v>10</v>
      </c>
      <c r="F941" t="s">
        <v>2338</v>
      </c>
      <c r="G941" t="s">
        <v>1545</v>
      </c>
      <c r="H941">
        <f t="shared" si="120"/>
        <v>8199999.9999999991</v>
      </c>
      <c r="I941">
        <f t="shared" si="121"/>
        <v>220700</v>
      </c>
      <c r="J941">
        <f t="shared" si="122"/>
        <v>256100.00000000003</v>
      </c>
      <c r="K941" s="2">
        <f t="shared" si="123"/>
        <v>2.6914634146341467E-2</v>
      </c>
      <c r="L941" t="str">
        <f t="shared" si="124"/>
        <v>Tier 1</v>
      </c>
    </row>
    <row r="942" spans="1:12" x14ac:dyDescent="0.35">
      <c r="A942" s="1" t="s">
        <v>2956</v>
      </c>
      <c r="B942">
        <v>981</v>
      </c>
      <c r="C942" t="s">
        <v>2957</v>
      </c>
      <c r="D942" t="s">
        <v>2511</v>
      </c>
      <c r="E942" t="s">
        <v>22</v>
      </c>
      <c r="F942" t="s">
        <v>2958</v>
      </c>
      <c r="G942" t="s">
        <v>2959</v>
      </c>
      <c r="H942">
        <f t="shared" si="120"/>
        <v>39600000</v>
      </c>
      <c r="I942">
        <f t="shared" si="121"/>
        <v>34200</v>
      </c>
      <c r="J942">
        <f t="shared" si="122"/>
        <v>52500</v>
      </c>
      <c r="K942" s="2">
        <f t="shared" si="123"/>
        <v>8.6363636363636362E-4</v>
      </c>
      <c r="L942" t="str">
        <f t="shared" si="124"/>
        <v>Tier 2</v>
      </c>
    </row>
    <row r="943" spans="1:12" x14ac:dyDescent="0.35">
      <c r="A943" s="1" t="s">
        <v>2960</v>
      </c>
      <c r="B943">
        <v>982</v>
      </c>
      <c r="C943" t="s">
        <v>26</v>
      </c>
      <c r="D943" t="s">
        <v>23</v>
      </c>
      <c r="E943" t="s">
        <v>58</v>
      </c>
      <c r="F943" t="s">
        <v>2961</v>
      </c>
      <c r="G943" t="s">
        <v>2962</v>
      </c>
      <c r="H943">
        <f t="shared" si="120"/>
        <v>3000000</v>
      </c>
      <c r="I943">
        <f t="shared" si="121"/>
        <v>547000</v>
      </c>
      <c r="J943">
        <f t="shared" si="122"/>
        <v>712100</v>
      </c>
      <c r="K943" s="2">
        <f t="shared" si="123"/>
        <v>0.18233333333333332</v>
      </c>
      <c r="L943" t="str">
        <f t="shared" si="124"/>
        <v>Tier 1</v>
      </c>
    </row>
    <row r="944" spans="1:12" x14ac:dyDescent="0.35">
      <c r="A944" s="1" t="s">
        <v>2963</v>
      </c>
      <c r="B944">
        <v>983</v>
      </c>
      <c r="C944" t="s">
        <v>2015</v>
      </c>
      <c r="D944" t="s">
        <v>18</v>
      </c>
      <c r="E944" t="s">
        <v>22</v>
      </c>
      <c r="F944" t="s">
        <v>2964</v>
      </c>
      <c r="G944" t="s">
        <v>1373</v>
      </c>
      <c r="H944">
        <f t="shared" si="120"/>
        <v>4800000</v>
      </c>
      <c r="I944">
        <f t="shared" si="121"/>
        <v>324700</v>
      </c>
      <c r="J944">
        <f t="shared" si="122"/>
        <v>439500</v>
      </c>
      <c r="K944" s="2">
        <f t="shared" si="123"/>
        <v>6.7645833333333336E-2</v>
      </c>
      <c r="L944" t="str">
        <f t="shared" si="124"/>
        <v>Tier 1</v>
      </c>
    </row>
    <row r="945" spans="1:12" x14ac:dyDescent="0.35">
      <c r="A945" s="1" t="s">
        <v>2965</v>
      </c>
      <c r="B945">
        <v>984</v>
      </c>
      <c r="C945" t="s">
        <v>76</v>
      </c>
      <c r="D945" t="s">
        <v>1297</v>
      </c>
      <c r="E945" t="s">
        <v>22</v>
      </c>
      <c r="F945" t="s">
        <v>2780</v>
      </c>
      <c r="G945" t="s">
        <v>2966</v>
      </c>
      <c r="H945">
        <f t="shared" si="120"/>
        <v>13900000</v>
      </c>
      <c r="I945">
        <f t="shared" si="121"/>
        <v>98200</v>
      </c>
      <c r="J945">
        <f t="shared" si="122"/>
        <v>148200</v>
      </c>
      <c r="K945" s="2">
        <f t="shared" si="123"/>
        <v>7.0647482014388491E-3</v>
      </c>
      <c r="L945" t="str">
        <f t="shared" si="124"/>
        <v>Tier 2</v>
      </c>
    </row>
    <row r="946" spans="1:12" x14ac:dyDescent="0.35">
      <c r="A946" s="1" t="s">
        <v>2967</v>
      </c>
      <c r="B946">
        <v>985</v>
      </c>
      <c r="C946" t="s">
        <v>2968</v>
      </c>
      <c r="D946" t="s">
        <v>1681</v>
      </c>
      <c r="E946" t="s">
        <v>10</v>
      </c>
      <c r="F946" t="s">
        <v>2969</v>
      </c>
      <c r="G946" t="s">
        <v>2970</v>
      </c>
      <c r="H946">
        <f t="shared" si="120"/>
        <v>8800000</v>
      </c>
      <c r="I946">
        <f t="shared" si="121"/>
        <v>191500</v>
      </c>
      <c r="J946">
        <f t="shared" si="122"/>
        <v>240400</v>
      </c>
      <c r="K946" s="2">
        <f t="shared" si="123"/>
        <v>2.1761363636363638E-2</v>
      </c>
      <c r="L946" t="str">
        <f t="shared" si="124"/>
        <v>Tier 1</v>
      </c>
    </row>
    <row r="947" spans="1:12" x14ac:dyDescent="0.35">
      <c r="A947" s="1" t="s">
        <v>2971</v>
      </c>
      <c r="B947">
        <v>986</v>
      </c>
      <c r="C947" t="s">
        <v>26</v>
      </c>
      <c r="D947" t="s">
        <v>1148</v>
      </c>
      <c r="E947" t="s">
        <v>22</v>
      </c>
      <c r="F947" t="s">
        <v>2972</v>
      </c>
      <c r="G947" t="s">
        <v>2973</v>
      </c>
      <c r="H947">
        <f t="shared" si="120"/>
        <v>10100000</v>
      </c>
      <c r="I947">
        <f t="shared" si="121"/>
        <v>147400</v>
      </c>
      <c r="J947">
        <f t="shared" si="122"/>
        <v>203600</v>
      </c>
      <c r="K947" s="2">
        <f t="shared" si="123"/>
        <v>1.4594059405940595E-2</v>
      </c>
      <c r="L947" t="str">
        <f t="shared" si="124"/>
        <v>Tier 2</v>
      </c>
    </row>
    <row r="948" spans="1:12" x14ac:dyDescent="0.35">
      <c r="A948" s="1" t="s">
        <v>2974</v>
      </c>
      <c r="B948">
        <v>987</v>
      </c>
      <c r="C948" t="s">
        <v>69</v>
      </c>
      <c r="D948" t="s">
        <v>29</v>
      </c>
      <c r="E948" t="s">
        <v>58</v>
      </c>
      <c r="F948" t="s">
        <v>926</v>
      </c>
      <c r="G948" t="s">
        <v>2975</v>
      </c>
      <c r="H948">
        <f t="shared" ref="H948:H961" si="125">IF(RIGHT(D948,1)="M", VALUE(SUBSTITUTE(D948,"M",""))*1000000, VALUE(SUBSTITUTE(D948,"K",""))*1000)</f>
        <v>3400000</v>
      </c>
      <c r="I948">
        <f t="shared" ref="I948:I961" si="126">IF(RIGHT(F948,1)="M", VALUE(SUBSTITUTE(F948,"M",""))*1000000, VALUE(SUBSTITUTE(F948,"K",""))*1000)</f>
        <v>489800</v>
      </c>
      <c r="J948">
        <f t="shared" ref="J948:J961" si="127">IF(RIGHT(G948,1)="M", VALUE(SUBSTITUTE(G948,"M",""))*1000000, VALUE(SUBSTITUTE(G948,"K",""))*1000)</f>
        <v>614300</v>
      </c>
      <c r="K948" s="2">
        <f t="shared" ref="K948:K961" si="128">I948/H948</f>
        <v>0.14405882352941177</v>
      </c>
      <c r="L948" t="str">
        <f t="shared" ref="L948:L961" si="129">IF(H948&lt;10000000,"Tier 1",
 IF(H948&lt;50000000,"Tier 2",
 IF(H948&lt;100000000,"Tier 3",
 "Tier 4")))</f>
        <v>Tier 1</v>
      </c>
    </row>
    <row r="949" spans="1:12" x14ac:dyDescent="0.35">
      <c r="A949" s="1" t="s">
        <v>2976</v>
      </c>
      <c r="B949">
        <v>988</v>
      </c>
      <c r="C949" t="s">
        <v>76</v>
      </c>
      <c r="D949" t="s">
        <v>742</v>
      </c>
      <c r="E949" t="s">
        <v>22</v>
      </c>
      <c r="F949" t="s">
        <v>2977</v>
      </c>
      <c r="G949" t="s">
        <v>950</v>
      </c>
      <c r="H949">
        <f t="shared" si="125"/>
        <v>9000000</v>
      </c>
      <c r="I949">
        <f t="shared" si="126"/>
        <v>176700</v>
      </c>
      <c r="J949">
        <f t="shared" si="127"/>
        <v>234100</v>
      </c>
      <c r="K949" s="2">
        <f t="shared" si="128"/>
        <v>1.9633333333333332E-2</v>
      </c>
      <c r="L949" t="str">
        <f t="shared" si="129"/>
        <v>Tier 1</v>
      </c>
    </row>
    <row r="950" spans="1:12" x14ac:dyDescent="0.35">
      <c r="A950" s="1" t="s">
        <v>2978</v>
      </c>
      <c r="B950">
        <v>989</v>
      </c>
      <c r="C950" t="s">
        <v>1097</v>
      </c>
      <c r="D950" t="s">
        <v>2108</v>
      </c>
      <c r="E950" t="s">
        <v>2109</v>
      </c>
      <c r="F950" t="s">
        <v>2979</v>
      </c>
      <c r="G950" t="s">
        <v>2980</v>
      </c>
      <c r="H950">
        <f t="shared" si="125"/>
        <v>5000000</v>
      </c>
      <c r="I950">
        <f t="shared" si="126"/>
        <v>393600</v>
      </c>
      <c r="J950">
        <f t="shared" si="127"/>
        <v>422000</v>
      </c>
      <c r="K950" s="2">
        <f t="shared" si="128"/>
        <v>7.8719999999999998E-2</v>
      </c>
      <c r="L950" t="str">
        <f t="shared" si="129"/>
        <v>Tier 1</v>
      </c>
    </row>
    <row r="951" spans="1:12" x14ac:dyDescent="0.35">
      <c r="A951" s="1" t="s">
        <v>2981</v>
      </c>
      <c r="B951">
        <v>990</v>
      </c>
      <c r="C951" t="s">
        <v>26</v>
      </c>
      <c r="D951" t="s">
        <v>60</v>
      </c>
      <c r="E951" t="s">
        <v>58</v>
      </c>
      <c r="F951" t="s">
        <v>2982</v>
      </c>
      <c r="G951" t="s">
        <v>2983</v>
      </c>
      <c r="H951">
        <f t="shared" si="125"/>
        <v>7300000</v>
      </c>
      <c r="I951">
        <f t="shared" si="126"/>
        <v>238200</v>
      </c>
      <c r="J951">
        <f t="shared" si="127"/>
        <v>283700</v>
      </c>
      <c r="K951" s="2">
        <f t="shared" si="128"/>
        <v>3.2630136986301371E-2</v>
      </c>
      <c r="L951" t="str">
        <f t="shared" si="129"/>
        <v>Tier 1</v>
      </c>
    </row>
    <row r="952" spans="1:12" x14ac:dyDescent="0.35">
      <c r="A952" s="1" t="s">
        <v>2984</v>
      </c>
      <c r="B952">
        <v>991</v>
      </c>
      <c r="C952" t="s">
        <v>26</v>
      </c>
      <c r="D952" t="s">
        <v>2108</v>
      </c>
      <c r="E952" t="s">
        <v>799</v>
      </c>
      <c r="F952" t="s">
        <v>2985</v>
      </c>
      <c r="G952" t="s">
        <v>2986</v>
      </c>
      <c r="H952">
        <f t="shared" si="125"/>
        <v>5000000</v>
      </c>
      <c r="I952">
        <f t="shared" si="126"/>
        <v>337900</v>
      </c>
      <c r="J952">
        <f t="shared" si="127"/>
        <v>416300</v>
      </c>
      <c r="K952" s="2">
        <f t="shared" si="128"/>
        <v>6.7580000000000001E-2</v>
      </c>
      <c r="L952" t="str">
        <f t="shared" si="129"/>
        <v>Tier 1</v>
      </c>
    </row>
    <row r="953" spans="1:12" x14ac:dyDescent="0.35">
      <c r="A953" s="1" t="s">
        <v>2987</v>
      </c>
      <c r="B953">
        <v>992</v>
      </c>
      <c r="C953" t="s">
        <v>157</v>
      </c>
      <c r="D953" t="s">
        <v>727</v>
      </c>
      <c r="E953" t="s">
        <v>22</v>
      </c>
      <c r="F953" t="s">
        <v>2988</v>
      </c>
      <c r="G953" t="s">
        <v>2323</v>
      </c>
      <c r="H953">
        <f t="shared" si="125"/>
        <v>10900000</v>
      </c>
      <c r="I953">
        <f t="shared" si="126"/>
        <v>149900</v>
      </c>
      <c r="J953">
        <f t="shared" si="127"/>
        <v>188500</v>
      </c>
      <c r="K953" s="2">
        <f t="shared" si="128"/>
        <v>1.3752293577981651E-2</v>
      </c>
      <c r="L953" t="str">
        <f t="shared" si="129"/>
        <v>Tier 2</v>
      </c>
    </row>
    <row r="954" spans="1:12" x14ac:dyDescent="0.35">
      <c r="A954" s="1" t="s">
        <v>2989</v>
      </c>
      <c r="B954">
        <v>993</v>
      </c>
      <c r="C954" t="s">
        <v>834</v>
      </c>
      <c r="D954" t="s">
        <v>1517</v>
      </c>
      <c r="E954" t="s">
        <v>58</v>
      </c>
      <c r="F954" t="s">
        <v>2990</v>
      </c>
      <c r="G954" t="s">
        <v>911</v>
      </c>
      <c r="H954">
        <f t="shared" si="125"/>
        <v>7400000</v>
      </c>
      <c r="I954">
        <f t="shared" si="126"/>
        <v>225600</v>
      </c>
      <c r="J954">
        <f t="shared" si="127"/>
        <v>279500</v>
      </c>
      <c r="K954" s="2">
        <f t="shared" si="128"/>
        <v>3.0486486486486487E-2</v>
      </c>
      <c r="L954" t="str">
        <f t="shared" si="129"/>
        <v>Tier 1</v>
      </c>
    </row>
    <row r="955" spans="1:12" x14ac:dyDescent="0.35">
      <c r="A955" s="1" t="s">
        <v>2991</v>
      </c>
      <c r="B955">
        <v>994</v>
      </c>
      <c r="C955" t="s">
        <v>330</v>
      </c>
      <c r="D955" t="s">
        <v>12</v>
      </c>
      <c r="E955" t="s">
        <v>2992</v>
      </c>
      <c r="F955" t="s">
        <v>2993</v>
      </c>
      <c r="G955" t="s">
        <v>2994</v>
      </c>
      <c r="H955">
        <f t="shared" si="125"/>
        <v>6600000</v>
      </c>
      <c r="I955">
        <f t="shared" si="126"/>
        <v>267400</v>
      </c>
      <c r="J955">
        <f t="shared" si="127"/>
        <v>315800</v>
      </c>
      <c r="K955" s="2">
        <f t="shared" si="128"/>
        <v>4.0515151515151518E-2</v>
      </c>
      <c r="L955" t="str">
        <f t="shared" si="129"/>
        <v>Tier 1</v>
      </c>
    </row>
    <row r="956" spans="1:12" x14ac:dyDescent="0.35">
      <c r="A956" s="1" t="s">
        <v>2995</v>
      </c>
      <c r="B956">
        <v>995</v>
      </c>
      <c r="C956" t="s">
        <v>313</v>
      </c>
      <c r="D956" t="s">
        <v>2108</v>
      </c>
      <c r="E956" t="s">
        <v>799</v>
      </c>
      <c r="F956" t="s">
        <v>2996</v>
      </c>
      <c r="G956" t="s">
        <v>1025</v>
      </c>
      <c r="H956">
        <f t="shared" si="125"/>
        <v>5000000</v>
      </c>
      <c r="I956">
        <f t="shared" si="126"/>
        <v>357500</v>
      </c>
      <c r="J956">
        <f t="shared" si="127"/>
        <v>412100</v>
      </c>
      <c r="K956" s="2">
        <f t="shared" si="128"/>
        <v>7.1499999999999994E-2</v>
      </c>
      <c r="L956" t="str">
        <f t="shared" si="129"/>
        <v>Tier 1</v>
      </c>
    </row>
    <row r="957" spans="1:12" x14ac:dyDescent="0.35">
      <c r="A957" s="1" t="s">
        <v>2997</v>
      </c>
      <c r="B957">
        <v>996</v>
      </c>
      <c r="C957" t="s">
        <v>26</v>
      </c>
      <c r="D957" t="s">
        <v>917</v>
      </c>
      <c r="E957" t="s">
        <v>10</v>
      </c>
      <c r="F957" t="s">
        <v>2998</v>
      </c>
      <c r="G957" t="s">
        <v>2999</v>
      </c>
      <c r="H957">
        <f t="shared" si="125"/>
        <v>8000000</v>
      </c>
      <c r="I957">
        <f t="shared" si="126"/>
        <v>211100</v>
      </c>
      <c r="J957">
        <f t="shared" si="127"/>
        <v>261800</v>
      </c>
      <c r="K957" s="2">
        <f t="shared" si="128"/>
        <v>2.6387500000000001E-2</v>
      </c>
      <c r="L957" t="str">
        <f t="shared" si="129"/>
        <v>Tier 1</v>
      </c>
    </row>
    <row r="958" spans="1:12" x14ac:dyDescent="0.35">
      <c r="A958" s="1" t="s">
        <v>3000</v>
      </c>
      <c r="B958">
        <v>997</v>
      </c>
      <c r="C958" t="s">
        <v>3001</v>
      </c>
      <c r="D958" t="s">
        <v>110</v>
      </c>
      <c r="E958" t="s">
        <v>58</v>
      </c>
      <c r="F958" t="s">
        <v>1932</v>
      </c>
      <c r="G958" t="s">
        <v>3002</v>
      </c>
      <c r="H958">
        <f t="shared" si="125"/>
        <v>4000000</v>
      </c>
      <c r="I958">
        <f t="shared" si="126"/>
        <v>434200</v>
      </c>
      <c r="J958">
        <f t="shared" si="127"/>
        <v>518200.00000000006</v>
      </c>
      <c r="K958" s="2">
        <f t="shared" si="128"/>
        <v>0.10854999999999999</v>
      </c>
      <c r="L958" t="str">
        <f t="shared" si="129"/>
        <v>Tier 1</v>
      </c>
    </row>
    <row r="959" spans="1:12" x14ac:dyDescent="0.35">
      <c r="A959" s="1" t="s">
        <v>3003</v>
      </c>
      <c r="B959">
        <v>998</v>
      </c>
      <c r="C959" t="s">
        <v>8</v>
      </c>
      <c r="D959" t="s">
        <v>843</v>
      </c>
      <c r="E959" t="s">
        <v>211</v>
      </c>
      <c r="F959" t="s">
        <v>3004</v>
      </c>
      <c r="G959" t="s">
        <v>3005</v>
      </c>
      <c r="H959">
        <f t="shared" si="125"/>
        <v>15000000</v>
      </c>
      <c r="I959">
        <f t="shared" si="126"/>
        <v>76400</v>
      </c>
      <c r="J959">
        <f t="shared" si="127"/>
        <v>135500</v>
      </c>
      <c r="K959" s="2">
        <f t="shared" si="128"/>
        <v>5.0933333333333334E-3</v>
      </c>
      <c r="L959" t="str">
        <f t="shared" si="129"/>
        <v>Tier 2</v>
      </c>
    </row>
    <row r="960" spans="1:12" x14ac:dyDescent="0.35">
      <c r="A960" s="1" t="s">
        <v>3006</v>
      </c>
      <c r="B960">
        <v>999</v>
      </c>
      <c r="D960" t="s">
        <v>588</v>
      </c>
      <c r="E960" t="s">
        <v>519</v>
      </c>
      <c r="F960" t="s">
        <v>3007</v>
      </c>
      <c r="G960" t="s">
        <v>3008</v>
      </c>
      <c r="H960">
        <f t="shared" si="125"/>
        <v>9800000</v>
      </c>
      <c r="I960">
        <f t="shared" si="126"/>
        <v>135400</v>
      </c>
      <c r="J960">
        <f t="shared" si="127"/>
        <v>214000</v>
      </c>
      <c r="K960" s="2">
        <f t="shared" si="128"/>
        <v>1.3816326530612245E-2</v>
      </c>
      <c r="L960" t="str">
        <f t="shared" si="129"/>
        <v>Tier 1</v>
      </c>
    </row>
    <row r="961" spans="1:12" x14ac:dyDescent="0.35">
      <c r="A961" s="1" t="s">
        <v>3009</v>
      </c>
      <c r="B961">
        <v>1000</v>
      </c>
      <c r="C961" t="s">
        <v>834</v>
      </c>
      <c r="D961" t="s">
        <v>639</v>
      </c>
      <c r="E961" t="s">
        <v>1518</v>
      </c>
      <c r="F961" t="s">
        <v>3010</v>
      </c>
      <c r="G961" t="s">
        <v>3011</v>
      </c>
      <c r="H961">
        <f t="shared" si="125"/>
        <v>13000000</v>
      </c>
      <c r="I961">
        <f t="shared" si="126"/>
        <v>117600</v>
      </c>
      <c r="J961">
        <f t="shared" si="127"/>
        <v>157600</v>
      </c>
      <c r="K961" s="2">
        <f t="shared" si="128"/>
        <v>9.0461538461538461E-3</v>
      </c>
      <c r="L961" t="str">
        <f t="shared" si="129"/>
        <v>Tier 2</v>
      </c>
    </row>
    <row r="962" spans="1:12" x14ac:dyDescent="0.35">
      <c r="A962"/>
    </row>
    <row r="963" spans="1:12" x14ac:dyDescent="0.35">
      <c r="A963"/>
    </row>
    <row r="964" spans="1:12" x14ac:dyDescent="0.35">
      <c r="A964"/>
    </row>
    <row r="965" spans="1:12" x14ac:dyDescent="0.35">
      <c r="A965"/>
    </row>
    <row r="966" spans="1:12" x14ac:dyDescent="0.35">
      <c r="A966"/>
    </row>
    <row r="967" spans="1:12" x14ac:dyDescent="0.35">
      <c r="A967"/>
    </row>
    <row r="968" spans="1:12" x14ac:dyDescent="0.35">
      <c r="A968"/>
    </row>
    <row r="969" spans="1:12" x14ac:dyDescent="0.35">
      <c r="A969"/>
    </row>
    <row r="970" spans="1:12" x14ac:dyDescent="0.35">
      <c r="A970"/>
    </row>
    <row r="971" spans="1:12" x14ac:dyDescent="0.35">
      <c r="A971"/>
    </row>
    <row r="972" spans="1:12" x14ac:dyDescent="0.35">
      <c r="A972"/>
    </row>
    <row r="973" spans="1:12" x14ac:dyDescent="0.35">
      <c r="A973"/>
    </row>
    <row r="974" spans="1:12" x14ac:dyDescent="0.35">
      <c r="A974"/>
    </row>
    <row r="975" spans="1:12" x14ac:dyDescent="0.35">
      <c r="A975"/>
    </row>
    <row r="976" spans="1:12" x14ac:dyDescent="0.35">
      <c r="A976"/>
    </row>
    <row r="977" spans="1:1" x14ac:dyDescent="0.35">
      <c r="A977"/>
    </row>
    <row r="978" spans="1:1" x14ac:dyDescent="0.35">
      <c r="A978"/>
    </row>
    <row r="979" spans="1:1" x14ac:dyDescent="0.35">
      <c r="A979"/>
    </row>
    <row r="980" spans="1:1" x14ac:dyDescent="0.35">
      <c r="A980"/>
    </row>
    <row r="981" spans="1:1" x14ac:dyDescent="0.35">
      <c r="A981"/>
    </row>
    <row r="982" spans="1:1" x14ac:dyDescent="0.35">
      <c r="A982"/>
    </row>
    <row r="983" spans="1:1" x14ac:dyDescent="0.35">
      <c r="A983"/>
    </row>
    <row r="984" spans="1:1" x14ac:dyDescent="0.35">
      <c r="A984"/>
    </row>
    <row r="985" spans="1:1" x14ac:dyDescent="0.35">
      <c r="A985"/>
    </row>
    <row r="986" spans="1:1" x14ac:dyDescent="0.35">
      <c r="A986"/>
    </row>
    <row r="987" spans="1:1" x14ac:dyDescent="0.35">
      <c r="A987"/>
    </row>
    <row r="988" spans="1:1" x14ac:dyDescent="0.35">
      <c r="A988"/>
    </row>
    <row r="989" spans="1:1" x14ac:dyDescent="0.35">
      <c r="A989"/>
    </row>
    <row r="990" spans="1:1" x14ac:dyDescent="0.35">
      <c r="A990"/>
    </row>
    <row r="991" spans="1:1" x14ac:dyDescent="0.35">
      <c r="A991"/>
    </row>
    <row r="992" spans="1:1" x14ac:dyDescent="0.35">
      <c r="A992"/>
    </row>
    <row r="993" spans="1:1" x14ac:dyDescent="0.35">
      <c r="A993"/>
    </row>
    <row r="994" spans="1:1" x14ac:dyDescent="0.35">
      <c r="A994"/>
    </row>
    <row r="995" spans="1:1" x14ac:dyDescent="0.35">
      <c r="A995"/>
    </row>
    <row r="996" spans="1:1" x14ac:dyDescent="0.35">
      <c r="A996"/>
    </row>
    <row r="997" spans="1:1" x14ac:dyDescent="0.35">
      <c r="A997"/>
    </row>
    <row r="998" spans="1:1" x14ac:dyDescent="0.35">
      <c r="A998"/>
    </row>
    <row r="999" spans="1:1" x14ac:dyDescent="0.35">
      <c r="A999"/>
    </row>
  </sheetData>
  <autoFilter ref="A1:G961" xr:uid="{7E79D4AC-B68E-4BCE-B7C2-BB0D220E14E1}">
    <filterColumn colId="5">
      <filters>
        <filter val="1.1M"/>
        <filter val="1.2M"/>
        <filter val="1.3M"/>
        <filter val="1.4M"/>
        <filter val="1.5M"/>
        <filter val="1.6M"/>
        <filter val="1.7M"/>
        <filter val="1.8M"/>
        <filter val="1.9M"/>
        <filter val="10.4M"/>
        <filter val="100.5K"/>
        <filter val="100K"/>
        <filter val="101.3K"/>
        <filter val="101.6K"/>
        <filter val="102.1K"/>
        <filter val="102.8K"/>
        <filter val="102K"/>
        <filter val="104.2K"/>
        <filter val="104.7K"/>
        <filter val="105.1K"/>
        <filter val="105.7K"/>
        <filter val="105.8K"/>
        <filter val="105K"/>
        <filter val="106.3K"/>
        <filter val="108.8K"/>
        <filter val="109.2K"/>
        <filter val="109.3K"/>
        <filter val="109.8K"/>
        <filter val="11.8M"/>
        <filter val="110.9K"/>
        <filter val="111.7K"/>
        <filter val="112.1K"/>
        <filter val="112.8K"/>
        <filter val="112.9K"/>
        <filter val="113.4K"/>
        <filter val="113.6K"/>
        <filter val="113K"/>
        <filter val="114.5K"/>
        <filter val="114.9K"/>
        <filter val="115.9K"/>
        <filter val="116.5K"/>
        <filter val="116.6K"/>
        <filter val="116.7K"/>
        <filter val="116.9K"/>
        <filter val="117.5K"/>
        <filter val="117.6K"/>
        <filter val="119.2K"/>
        <filter val="119.3K"/>
        <filter val="119.7K"/>
        <filter val="119.8K"/>
        <filter val="120K"/>
        <filter val="121.2K"/>
        <filter val="123.5K"/>
        <filter val="123.9K"/>
        <filter val="123K"/>
        <filter val="124.3K"/>
        <filter val="125.7K"/>
        <filter val="125K"/>
        <filter val="126.4K"/>
        <filter val="126.7K"/>
        <filter val="126.8K"/>
        <filter val="126.9K"/>
        <filter val="127.7K"/>
        <filter val="127.8K"/>
        <filter val="128.2K"/>
        <filter val="128.6K"/>
        <filter val="129.4K"/>
        <filter val="13.3M"/>
        <filter val="130.5K"/>
        <filter val="130.6K"/>
        <filter val="131.1K"/>
        <filter val="132.3K"/>
        <filter val="132.9K"/>
        <filter val="133.2K"/>
        <filter val="134.5K"/>
        <filter val="134.8K"/>
        <filter val="135.4K"/>
        <filter val="135.8K"/>
        <filter val="135K"/>
        <filter val="137.3K"/>
        <filter val="137.5K"/>
        <filter val="137.6K"/>
        <filter val="137.9K"/>
        <filter val="138.3K"/>
        <filter val="139.1K"/>
        <filter val="141.3K"/>
        <filter val="141.4K"/>
        <filter val="142.1K"/>
        <filter val="143.2K"/>
        <filter val="144.5K"/>
        <filter val="144.6K"/>
        <filter val="144.7K"/>
        <filter val="145.3K"/>
        <filter val="145.7K"/>
        <filter val="145.8K"/>
        <filter val="146.6K"/>
        <filter val="147.4K"/>
        <filter val="147.5K"/>
        <filter val="147.9K"/>
        <filter val="148.1K"/>
        <filter val="148.3K"/>
        <filter val="148.4K"/>
        <filter val="149.1K"/>
        <filter val="149.9K"/>
        <filter val="150.1K"/>
        <filter val="150.8K"/>
        <filter val="151.1K"/>
        <filter val="151.5K"/>
        <filter val="151.6K"/>
        <filter val="151.7K"/>
        <filter val="152.6K"/>
        <filter val="154.5K"/>
        <filter val="155.5K"/>
        <filter val="156.2K"/>
        <filter val="156.3K"/>
        <filter val="157.3K"/>
        <filter val="157.9K"/>
        <filter val="158.2K"/>
        <filter val="158.6K"/>
        <filter val="159.1K"/>
        <filter val="159.3K"/>
        <filter val="159.5K"/>
        <filter val="160.1K"/>
        <filter val="160.2K"/>
        <filter val="160.8K"/>
        <filter val="161.5K"/>
        <filter val="161.6K"/>
        <filter val="161.7K"/>
        <filter val="163.6K"/>
        <filter val="163.7K"/>
        <filter val="163.9K"/>
        <filter val="164.4K"/>
        <filter val="164.7K"/>
        <filter val="165.2K"/>
        <filter val="165.6K"/>
        <filter val="166.3K"/>
        <filter val="166K"/>
        <filter val="167.2K"/>
        <filter val="167.3K"/>
        <filter val="167.8K"/>
        <filter val="167K"/>
        <filter val="168.8K"/>
        <filter val="169K"/>
        <filter val="170.1K"/>
        <filter val="170.9K"/>
        <filter val="171.7K"/>
        <filter val="172.6K"/>
        <filter val="173.1K"/>
        <filter val="173.4K"/>
        <filter val="173.6K"/>
        <filter val="173.7K"/>
        <filter val="173.9K"/>
        <filter val="174.7K"/>
        <filter val="174.8K"/>
        <filter val="175.2K"/>
        <filter val="175.8K"/>
        <filter val="176.1K"/>
        <filter val="176.7K"/>
        <filter val="177.1K"/>
        <filter val="177.6K"/>
        <filter val="177K"/>
        <filter val="178.9K"/>
        <filter val="179.2K"/>
        <filter val="179.7K"/>
        <filter val="179.8K"/>
        <filter val="180.6K"/>
        <filter val="180.7K"/>
        <filter val="180.9K"/>
        <filter val="182.8K"/>
        <filter val="184.4K"/>
        <filter val="184.6K"/>
        <filter val="184.7K"/>
        <filter val="185.5K"/>
        <filter val="185.8K"/>
        <filter val="186.1K"/>
        <filter val="186.2K"/>
        <filter val="186.4K"/>
        <filter val="186.6K"/>
        <filter val="186.7K"/>
        <filter val="188.4K"/>
        <filter val="188.5K"/>
        <filter val="189.9K"/>
        <filter val="190.2K"/>
        <filter val="190.3K"/>
        <filter val="190.8K"/>
        <filter val="190.9K"/>
        <filter val="191.5K"/>
        <filter val="192.2K"/>
        <filter val="192.5K"/>
        <filter val="193.5K"/>
        <filter val="193.9K"/>
        <filter val="194.8K"/>
        <filter val="194K"/>
        <filter val="195.5K"/>
        <filter val="195.7K"/>
        <filter val="196.2K"/>
        <filter val="196.6K"/>
        <filter val="198.4K"/>
        <filter val="198.6K"/>
        <filter val="198.7K"/>
        <filter val="199.6K"/>
        <filter val="1M"/>
        <filter val="2.1M"/>
        <filter val="2.2M"/>
        <filter val="2.3M"/>
        <filter val="2.4M"/>
        <filter val="2.6M"/>
        <filter val="2.7M"/>
        <filter val="2.8M"/>
        <filter val="20.6K"/>
        <filter val="201.1K"/>
        <filter val="201.4K"/>
        <filter val="202.3K"/>
        <filter val="202.5K"/>
        <filter val="202.7K"/>
        <filter val="202.8K"/>
        <filter val="204.1K"/>
        <filter val="204.3K"/>
        <filter val="204.4K"/>
        <filter val="204.9K"/>
        <filter val="205.3K"/>
        <filter val="205.4K"/>
        <filter val="207.2K"/>
        <filter val="207.3K"/>
        <filter val="208.6K"/>
        <filter val="210.5K"/>
        <filter val="210.6K"/>
        <filter val="211.1K"/>
        <filter val="211.9K"/>
        <filter val="212.2K"/>
        <filter val="213.2K"/>
        <filter val="213.8K"/>
        <filter val="213.9K"/>
        <filter val="214.2K"/>
        <filter val="214.9K"/>
        <filter val="215K"/>
        <filter val="216.4K"/>
        <filter val="216.8K"/>
        <filter val="217.3K"/>
        <filter val="217.8K"/>
        <filter val="218.1K"/>
        <filter val="218.9K"/>
        <filter val="219.5K"/>
        <filter val="219K"/>
        <filter val="220.7K"/>
        <filter val="220K"/>
        <filter val="222.1K"/>
        <filter val="223.3K"/>
        <filter val="225.3K"/>
        <filter val="225.6K"/>
        <filter val="225.8K"/>
        <filter val="226.4K"/>
        <filter val="226.5K"/>
        <filter val="226.8K"/>
        <filter val="227.7K"/>
        <filter val="227.9K"/>
        <filter val="228.5K"/>
        <filter val="228.9K"/>
        <filter val="229.7K"/>
        <filter val="230.5K"/>
        <filter val="231.4K"/>
        <filter val="232.1K"/>
        <filter val="233.5K"/>
        <filter val="233.7K"/>
        <filter val="234.1K"/>
        <filter val="234.2K"/>
        <filter val="234.7K"/>
        <filter val="234.9K"/>
        <filter val="234K"/>
        <filter val="235.9K"/>
        <filter val="236.1K"/>
        <filter val="237.7K"/>
        <filter val="238.2K"/>
        <filter val="238.5K"/>
        <filter val="240.1K"/>
        <filter val="243.2K"/>
        <filter val="245.3K"/>
        <filter val="246.4K"/>
        <filter val="247.3K"/>
        <filter val="247K"/>
        <filter val="248.2K"/>
        <filter val="248.9K"/>
        <filter val="249.9K"/>
        <filter val="251.6K"/>
        <filter val="252.4K"/>
        <filter val="252.6K"/>
        <filter val="253.1K"/>
        <filter val="255.6K"/>
        <filter val="255.7K"/>
        <filter val="257.2K"/>
        <filter val="258.5K"/>
        <filter val="259.1K"/>
        <filter val="259.5K"/>
        <filter val="259.6K"/>
        <filter val="259.7K"/>
        <filter val="260.2K"/>
        <filter val="262.4K"/>
        <filter val="263.7K"/>
        <filter val="263K"/>
        <filter val="264.1K"/>
        <filter val="264.5K"/>
        <filter val="264K"/>
        <filter val="265.4K"/>
        <filter val="266.4K"/>
        <filter val="266.7K"/>
        <filter val="266.8K"/>
        <filter val="267.2K"/>
        <filter val="267.4K"/>
        <filter val="267.5K"/>
        <filter val="267.8K"/>
        <filter val="267K"/>
        <filter val="269.4K"/>
        <filter val="269.6K"/>
        <filter val="269.7K"/>
        <filter val="271.1K"/>
        <filter val="271.8K"/>
        <filter val="272.4K"/>
        <filter val="273.4K"/>
        <filter val="274.8K"/>
        <filter val="274K"/>
        <filter val="275.9K"/>
        <filter val="275K"/>
        <filter val="277.1K"/>
        <filter val="277.6K"/>
        <filter val="277K"/>
        <filter val="278.8K"/>
        <filter val="279.3K"/>
        <filter val="279.9K"/>
        <filter val="280.5K"/>
        <filter val="280.8K"/>
        <filter val="281.2K"/>
        <filter val="281.6K"/>
        <filter val="281.7K"/>
        <filter val="281.8K"/>
        <filter val="282.8K"/>
        <filter val="283.8K"/>
        <filter val="286.1K"/>
        <filter val="286.4K"/>
        <filter val="289.5K"/>
        <filter val="289.8K"/>
        <filter val="289.9K"/>
        <filter val="29.9K"/>
        <filter val="292.1K"/>
        <filter val="293.8K"/>
        <filter val="294.2K"/>
        <filter val="294K"/>
        <filter val="296.5K"/>
        <filter val="297.1K"/>
        <filter val="297.5K"/>
        <filter val="299.7K"/>
        <filter val="2M"/>
        <filter val="3.2M"/>
        <filter val="3.6M"/>
        <filter val="3.9M"/>
        <filter val="300.3K"/>
        <filter val="300.9K"/>
        <filter val="301.5K"/>
        <filter val="303.5K"/>
        <filter val="304.1K"/>
        <filter val="304.6K"/>
        <filter val="305.4K"/>
        <filter val="305.9K"/>
        <filter val="306.8K"/>
        <filter val="309.1K"/>
        <filter val="309.8K"/>
        <filter val="310.9K"/>
        <filter val="311.5K"/>
        <filter val="312.5K"/>
        <filter val="314.5K"/>
        <filter val="315.2K"/>
        <filter val="315.5K"/>
        <filter val="316.6K"/>
        <filter val="316.9K"/>
        <filter val="318.5K"/>
        <filter val="320.1K"/>
        <filter val="320.2K"/>
        <filter val="322.4K"/>
        <filter val="323.2K"/>
        <filter val="324.2K"/>
        <filter val="324.5K"/>
        <filter val="324.7K"/>
        <filter val="325.4K"/>
        <filter val="326.2K"/>
        <filter val="328K"/>
        <filter val="329.9K"/>
        <filter val="330.3K"/>
        <filter val="330.5K"/>
        <filter val="330.9K"/>
        <filter val="333.6K"/>
        <filter val="335.5K"/>
        <filter val="336.5K"/>
        <filter val="336.7K"/>
        <filter val="336.9K"/>
        <filter val="337.9K"/>
        <filter val="338K"/>
        <filter val="339.2K"/>
        <filter val="339.4K"/>
        <filter val="339.6K"/>
        <filter val="34.2K"/>
        <filter val="340.9K"/>
        <filter val="342.3K"/>
        <filter val="342.5K"/>
        <filter val="344.3K"/>
        <filter val="344.4K"/>
        <filter val="344.7K"/>
        <filter val="344.9K"/>
        <filter val="345K"/>
        <filter val="347.4K"/>
        <filter val="347.8K"/>
        <filter val="347K"/>
        <filter val="349.3K"/>
        <filter val="349K"/>
        <filter val="35.5K"/>
        <filter val="350.9K"/>
        <filter val="351K"/>
        <filter val="352.9K"/>
        <filter val="353.4K"/>
        <filter val="355.4K"/>
        <filter val="357.5K"/>
        <filter val="358.1K"/>
        <filter val="358.9K"/>
        <filter val="36.9K"/>
        <filter val="360.7K"/>
        <filter val="362.2K"/>
        <filter val="362.3K"/>
        <filter val="362.4K"/>
        <filter val="362.9K"/>
        <filter val="362K"/>
        <filter val="363.4K"/>
        <filter val="364.1K"/>
        <filter val="364.2K"/>
        <filter val="364.7K"/>
        <filter val="365.3K"/>
        <filter val="366.1K"/>
        <filter val="368.5K"/>
        <filter val="372.2K"/>
        <filter val="372.7K"/>
        <filter val="373.2K"/>
        <filter val="373K"/>
        <filter val="374.4K"/>
        <filter val="377.5K"/>
        <filter val="379.6K"/>
        <filter val="379.8K"/>
        <filter val="379.9K"/>
        <filter val="380.7K"/>
        <filter val="382.2K"/>
        <filter val="384.9K"/>
        <filter val="385.1K"/>
        <filter val="387.2K"/>
        <filter val="388.3K"/>
        <filter val="389.5K"/>
        <filter val="389.6K"/>
        <filter val="390.3K"/>
        <filter val="390.5K"/>
        <filter val="391.1K"/>
        <filter val="391.8K"/>
        <filter val="392.3K"/>
        <filter val="392.6K"/>
        <filter val="393.6K"/>
        <filter val="393.9K"/>
        <filter val="394.8K"/>
        <filter val="396.1K"/>
        <filter val="399.2K"/>
        <filter val="399.6K"/>
        <filter val="3M"/>
        <filter val="4.3M"/>
        <filter val="4.9M"/>
        <filter val="400.1K"/>
        <filter val="400.5K"/>
        <filter val="404.2K"/>
        <filter val="406.4K"/>
        <filter val="407.2K"/>
        <filter val="408.4K"/>
        <filter val="408.9K"/>
        <filter val="41.3K"/>
        <filter val="410K"/>
        <filter val="411.6K"/>
        <filter val="412.1K"/>
        <filter val="412.2K"/>
        <filter val="412.3K"/>
        <filter val="414.3K"/>
        <filter val="414.4K"/>
        <filter val="417.3K"/>
        <filter val="417.9K"/>
        <filter val="418.5K"/>
        <filter val="418.7K"/>
        <filter val="419.8K"/>
        <filter val="421.3K"/>
        <filter val="421.5K"/>
        <filter val="424.3K"/>
        <filter val="424.6K"/>
        <filter val="426.5K"/>
        <filter val="428.1K"/>
        <filter val="428.6K"/>
        <filter val="428.7K"/>
        <filter val="428K"/>
        <filter val="429.8K"/>
        <filter val="430.6K"/>
        <filter val="434.2K"/>
        <filter val="434.7K"/>
        <filter val="435.7K"/>
        <filter val="439K"/>
        <filter val="442.1K"/>
        <filter val="446.6K"/>
        <filter val="447.9K"/>
        <filter val="447K"/>
        <filter val="449.7K"/>
        <filter val="452.2K"/>
        <filter val="452.3K"/>
        <filter val="456K"/>
        <filter val="457.4K"/>
        <filter val="459.2K"/>
        <filter val="461.9K"/>
        <filter val="463.3K"/>
        <filter val="463.7K"/>
        <filter val="467.4K"/>
        <filter val="468.3K"/>
        <filter val="468.7K"/>
        <filter val="47.8K"/>
        <filter val="471.3K"/>
        <filter val="471.4K"/>
        <filter val="472.5K"/>
        <filter val="472.8K"/>
        <filter val="473.2K"/>
        <filter val="474.8K"/>
        <filter val="475.6K"/>
        <filter val="479.9K"/>
        <filter val="48.4K"/>
        <filter val="48.9K"/>
        <filter val="481.1K"/>
        <filter val="481.3K"/>
        <filter val="481.5K"/>
        <filter val="481K"/>
        <filter val="485.7K"/>
        <filter val="486.6K"/>
        <filter val="487.2K"/>
        <filter val="488.2K"/>
        <filter val="488.4K"/>
        <filter val="489.7K"/>
        <filter val="489.8K"/>
        <filter val="49.4K"/>
        <filter val="491.1K"/>
        <filter val="491.7K"/>
        <filter val="493.3K"/>
        <filter val="493.5K"/>
        <filter val="494.6K"/>
        <filter val="495.5K"/>
        <filter val="499.4K"/>
        <filter val="499.7K"/>
        <filter val="4M"/>
        <filter val="5.2M"/>
        <filter val="5.4M"/>
        <filter val="5.5M"/>
        <filter val="5.7M"/>
        <filter val="501.7K"/>
        <filter val="502.1K"/>
        <filter val="502.2K"/>
        <filter val="502.4K"/>
        <filter val="503.1K"/>
        <filter val="506K"/>
        <filter val="507K"/>
        <filter val="509K"/>
        <filter val="51.4K"/>
        <filter val="511.3K"/>
        <filter val="514.9K"/>
        <filter val="515.2K"/>
        <filter val="517.7K"/>
        <filter val="519.3K"/>
        <filter val="520.5K"/>
        <filter val="521.8K"/>
        <filter val="523.3K"/>
        <filter val="525.4K"/>
        <filter val="525.7K"/>
        <filter val="527.9K"/>
        <filter val="528.2K"/>
        <filter val="528.5K"/>
        <filter val="531.6K"/>
        <filter val="533.1K"/>
        <filter val="534.7K"/>
        <filter val="536.8K"/>
        <filter val="537.8K"/>
        <filter val="538.6K"/>
        <filter val="538.9K"/>
        <filter val="539.3K"/>
        <filter val="539.9K"/>
        <filter val="54.6K"/>
        <filter val="540.2K"/>
        <filter val="540.9K"/>
        <filter val="541.4K"/>
        <filter val="542.9K"/>
        <filter val="542K"/>
        <filter val="547.2K"/>
        <filter val="547K"/>
        <filter val="549.9K"/>
        <filter val="55.8K"/>
        <filter val="550.7K"/>
        <filter val="551.2K"/>
        <filter val="553.7K"/>
        <filter val="555.1K"/>
        <filter val="555.7K"/>
        <filter val="556.4K"/>
        <filter val="557.8K"/>
        <filter val="558.5K"/>
        <filter val="559.6K"/>
        <filter val="565.8K"/>
        <filter val="566.2K"/>
        <filter val="566.7K"/>
        <filter val="567.2K"/>
        <filter val="567.8K"/>
        <filter val="568.5K"/>
        <filter val="57.9K"/>
        <filter val="570.1K"/>
        <filter val="571.3K"/>
        <filter val="574.9K"/>
        <filter val="579.2K"/>
        <filter val="579.8K"/>
        <filter val="58.9K"/>
        <filter val="581.1K"/>
        <filter val="585.7K"/>
        <filter val="586.8K"/>
        <filter val="590.8K"/>
        <filter val="592.3K"/>
        <filter val="6.3M"/>
        <filter val="6.9M"/>
        <filter val="60.9K"/>
        <filter val="600.1K"/>
        <filter val="604.1K"/>
        <filter val="604.8K"/>
        <filter val="605.4K"/>
        <filter val="606.1K"/>
        <filter val="606.2K"/>
        <filter val="607.3K"/>
        <filter val="608.7K"/>
        <filter val="613.7K"/>
        <filter val="616.3K"/>
        <filter val="617.1K"/>
        <filter val="618.1K"/>
        <filter val="620K"/>
        <filter val="621.3K"/>
        <filter val="625.4K"/>
        <filter val="628K"/>
        <filter val="63.1K"/>
        <filter val="630.5K"/>
        <filter val="635.3K"/>
        <filter val="636.6K"/>
        <filter val="638.4K"/>
        <filter val="639.6K"/>
        <filter val="64.7K"/>
        <filter val="64.8K"/>
        <filter val="643.5K"/>
        <filter val="65.3K"/>
        <filter val="655.9K"/>
        <filter val="658.4K"/>
        <filter val="66.7K"/>
        <filter val="66.9K"/>
        <filter val="660.3K"/>
        <filter val="667.5K"/>
        <filter val="669.1K"/>
        <filter val="67.2K"/>
        <filter val="674.8K"/>
        <filter val="675.1K"/>
        <filter val="677K"/>
        <filter val="678.7K"/>
        <filter val="678.8K"/>
        <filter val="678.9K"/>
        <filter val="679.4K"/>
        <filter val="68.8K"/>
        <filter val="680.8K"/>
        <filter val="682.1K"/>
        <filter val="683.8K"/>
        <filter val="684.3K"/>
        <filter val="684.5K"/>
        <filter val="685.5K"/>
        <filter val="688.6K"/>
        <filter val="690.3K"/>
        <filter val="691.5K"/>
        <filter val="691.6K"/>
        <filter val="694.6K"/>
        <filter val="695.7K"/>
        <filter val="696K"/>
        <filter val="698.2K"/>
        <filter val="699.7K"/>
        <filter val="70.6K"/>
        <filter val="70.7K"/>
        <filter val="700.1K"/>
        <filter val="702.1K"/>
        <filter val="71.1K"/>
        <filter val="71.9K"/>
        <filter val="711.7K"/>
        <filter val="712.4K"/>
        <filter val="719.2K"/>
        <filter val="720.3K"/>
        <filter val="721.9K"/>
        <filter val="725.4K"/>
        <filter val="725.8K"/>
        <filter val="727.5K"/>
        <filter val="729.1K"/>
        <filter val="73.6K"/>
        <filter val="731.7K"/>
        <filter val="737.6K"/>
        <filter val="739.5K"/>
        <filter val="739.8K"/>
        <filter val="74.1K"/>
        <filter val="74.3K"/>
        <filter val="741.7K"/>
        <filter val="743.9K"/>
        <filter val="744.1K"/>
        <filter val="744.2K"/>
        <filter val="75.3K"/>
        <filter val="752.5K"/>
        <filter val="752.9K"/>
        <filter val="753.1K"/>
        <filter val="753.3K"/>
        <filter val="753.4K"/>
        <filter val="753.5K"/>
        <filter val="753.6K"/>
        <filter val="756.6K"/>
        <filter val="758.3K"/>
        <filter val="76.4K"/>
        <filter val="76.8K"/>
        <filter val="76.9K"/>
        <filter val="762.3K"/>
        <filter val="763.5K"/>
        <filter val="765K"/>
        <filter val="768.1K"/>
        <filter val="769.7K"/>
        <filter val="77.1K"/>
        <filter val="77.8K"/>
        <filter val="79.1K"/>
        <filter val="791.2K"/>
        <filter val="796.2K"/>
        <filter val="798.5K"/>
        <filter val="7M"/>
        <filter val="80.2K"/>
        <filter val="80.8K"/>
        <filter val="806.5K"/>
        <filter val="806.7K"/>
        <filter val="808.8K"/>
        <filter val="81.1K"/>
        <filter val="810.3K"/>
        <filter val="814.8K"/>
        <filter val="819.7K"/>
        <filter val="82.3K"/>
        <filter val="82.5K"/>
        <filter val="823.7K"/>
        <filter val="826.5K"/>
        <filter val="828.3K"/>
        <filter val="82K"/>
        <filter val="83.7K"/>
        <filter val="83.8K"/>
        <filter val="831K"/>
        <filter val="833.1K"/>
        <filter val="835K"/>
        <filter val="836.5K"/>
        <filter val="838K"/>
        <filter val="84.2K"/>
        <filter val="840.1K"/>
        <filter val="840.2K"/>
        <filter val="842.7K"/>
        <filter val="845.4K"/>
        <filter val="85.7K"/>
        <filter val="85.8K"/>
        <filter val="851.2K"/>
        <filter val="859.1K"/>
        <filter val="861.5K"/>
        <filter val="863.9K"/>
        <filter val="869.2K"/>
        <filter val="87.3K"/>
        <filter val="87.8K"/>
        <filter val="872.1K"/>
        <filter val="873.5K"/>
        <filter val="873.7K"/>
        <filter val="877.3K"/>
        <filter val="89.6K"/>
        <filter val="891.4K"/>
        <filter val="892.2K"/>
        <filter val="9.9M"/>
        <filter val="904.6K"/>
        <filter val="907.2K"/>
        <filter val="909.2K"/>
        <filter val="909.7K"/>
        <filter val="909.8K"/>
        <filter val="91.3K"/>
        <filter val="91.4K"/>
        <filter val="911.4K"/>
        <filter val="915.5K"/>
        <filter val="919.9K"/>
        <filter val="91K"/>
        <filter val="92.3K"/>
        <filter val="923.9K"/>
        <filter val="926.6K"/>
        <filter val="92K"/>
        <filter val="93.1K"/>
        <filter val="930.3K"/>
        <filter val="931.7K"/>
        <filter val="933.1K"/>
        <filter val="938.2K"/>
        <filter val="938.5K"/>
        <filter val="94.5K"/>
        <filter val="949.9K"/>
        <filter val="95.7K"/>
        <filter val="95.8K"/>
        <filter val="95.9K"/>
        <filter val="950.4K"/>
        <filter val="96.5K"/>
        <filter val="961.1K"/>
        <filter val="965.6K"/>
        <filter val="97.3K"/>
        <filter val="973.8K"/>
        <filter val="973.9K"/>
        <filter val="979.6K"/>
        <filter val="98.2K"/>
        <filter val="98.8K"/>
        <filter val="99.5K"/>
        <filter val="990.9K"/>
      </filters>
    </filterColumn>
  </autoFilter>
  <conditionalFormatting sqref="A1000:A1048576 A1:A961">
    <cfRule type="duplicateValues" dxfId="0"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AF68-CB36-40AA-88E9-D6CD74D64B8D}">
  <dimension ref="A1:H78"/>
  <sheetViews>
    <sheetView zoomScale="57" zoomScaleNormal="100" workbookViewId="0">
      <selection activeCell="G3" sqref="G3:H15"/>
    </sheetView>
  </sheetViews>
  <sheetFormatPr defaultRowHeight="14.5" x14ac:dyDescent="0.35"/>
  <cols>
    <col min="1" max="1" width="14.7265625" bestFit="1" customWidth="1"/>
    <col min="2" max="2" width="27.1796875" bestFit="1" customWidth="1"/>
    <col min="3" max="3" width="14.26953125" bestFit="1" customWidth="1"/>
    <col min="4" max="4" width="6.26953125" bestFit="1" customWidth="1"/>
    <col min="5" max="5" width="11.08984375" bestFit="1" customWidth="1"/>
    <col min="6" max="6" width="16.26953125" bestFit="1" customWidth="1"/>
    <col min="7" max="7" width="55.08984375" bestFit="1" customWidth="1"/>
    <col min="8" max="8" width="27.1796875" bestFit="1" customWidth="1"/>
    <col min="9" max="9" width="27.7265625" bestFit="1" customWidth="1"/>
    <col min="10" max="10" width="14.1796875" bestFit="1" customWidth="1"/>
    <col min="11" max="11" width="17.81640625" bestFit="1" customWidth="1"/>
    <col min="12" max="12" width="20.54296875" bestFit="1" customWidth="1"/>
    <col min="13" max="13" width="24.1796875" bestFit="1" customWidth="1"/>
    <col min="14" max="14" width="11.7265625" bestFit="1" customWidth="1"/>
    <col min="15" max="15" width="15.08984375" bestFit="1" customWidth="1"/>
    <col min="16" max="16" width="14.36328125" bestFit="1" customWidth="1"/>
    <col min="17" max="17" width="18.08984375" bestFit="1" customWidth="1"/>
    <col min="18" max="18" width="17.08984375" bestFit="1" customWidth="1"/>
    <col min="19" max="19" width="20.81640625" bestFit="1" customWidth="1"/>
    <col min="20" max="20" width="12.26953125" bestFit="1" customWidth="1"/>
    <col min="21" max="21" width="16" bestFit="1" customWidth="1"/>
    <col min="22" max="22" width="11.08984375" bestFit="1" customWidth="1"/>
    <col min="23" max="23" width="22.453125" bestFit="1" customWidth="1"/>
    <col min="24" max="24" width="10.453125" bestFit="1" customWidth="1"/>
    <col min="25" max="25" width="10.1796875" bestFit="1" customWidth="1"/>
    <col min="26" max="26" width="19.54296875" bestFit="1" customWidth="1"/>
    <col min="27" max="27" width="12.7265625" bestFit="1" customWidth="1"/>
    <col min="28" max="28" width="18.453125" bestFit="1" customWidth="1"/>
    <col min="29" max="29" width="8.54296875" bestFit="1" customWidth="1"/>
    <col min="30" max="30" width="15.90625" bestFit="1" customWidth="1"/>
    <col min="31" max="31" width="13" bestFit="1" customWidth="1"/>
    <col min="32" max="32" width="13.36328125" bestFit="1" customWidth="1"/>
    <col min="33" max="33" width="13.1796875" bestFit="1" customWidth="1"/>
    <col min="34" max="34" width="13.6328125" bestFit="1" customWidth="1"/>
    <col min="35" max="35" width="21.26953125" bestFit="1" customWidth="1"/>
    <col min="36" max="36" width="19.26953125" bestFit="1" customWidth="1"/>
    <col min="37" max="37" width="11.54296875" bestFit="1" customWidth="1"/>
    <col min="38" max="38" width="11.08984375" bestFit="1" customWidth="1"/>
    <col min="39" max="39" width="7.7265625" bestFit="1" customWidth="1"/>
    <col min="40" max="40" width="7.453125" bestFit="1" customWidth="1"/>
    <col min="41" max="41" width="12.08984375" bestFit="1" customWidth="1"/>
    <col min="42" max="42" width="22.7265625" bestFit="1" customWidth="1"/>
    <col min="43" max="43" width="12.7265625" bestFit="1" customWidth="1"/>
    <col min="44" max="44" width="13.1796875" bestFit="1" customWidth="1"/>
    <col min="45" max="46" width="12.81640625" bestFit="1" customWidth="1"/>
    <col min="47" max="47" width="14" bestFit="1" customWidth="1"/>
    <col min="48" max="48" width="11.08984375" bestFit="1" customWidth="1"/>
    <col min="49" max="49" width="10.81640625" bestFit="1" customWidth="1"/>
    <col min="50" max="50" width="14.90625" bestFit="1" customWidth="1"/>
    <col min="51" max="51" width="17.1796875" bestFit="1" customWidth="1"/>
    <col min="52" max="52" width="9.36328125" bestFit="1" customWidth="1"/>
    <col min="53" max="53" width="11.90625" bestFit="1" customWidth="1"/>
    <col min="54" max="54" width="9.6328125" bestFit="1" customWidth="1"/>
    <col min="55" max="55" width="11.08984375" bestFit="1" customWidth="1"/>
    <col min="56" max="56" width="10.26953125" bestFit="1" customWidth="1"/>
    <col min="57" max="57" width="16.36328125" bestFit="1" customWidth="1"/>
    <col min="58" max="58" width="16" bestFit="1" customWidth="1"/>
    <col min="59" max="61" width="13.36328125" bestFit="1" customWidth="1"/>
    <col min="62" max="62" width="4.90625" bestFit="1" customWidth="1"/>
    <col min="63" max="63" width="15.26953125" bestFit="1" customWidth="1"/>
    <col min="64" max="64" width="13.81640625" bestFit="1" customWidth="1"/>
    <col min="65" max="65" width="14.26953125" bestFit="1" customWidth="1"/>
    <col min="66" max="66" width="14.6328125" bestFit="1" customWidth="1"/>
    <col min="67" max="67" width="13.36328125" bestFit="1" customWidth="1"/>
    <col min="68" max="68" width="14.7265625" bestFit="1" customWidth="1"/>
    <col min="69" max="72" width="13.36328125" bestFit="1" customWidth="1"/>
    <col min="73" max="73" width="16" bestFit="1" customWidth="1"/>
    <col min="74" max="74" width="13.81640625" bestFit="1" customWidth="1"/>
    <col min="75" max="75" width="13.36328125" bestFit="1" customWidth="1"/>
    <col min="76" max="76" width="14.08984375" bestFit="1" customWidth="1"/>
    <col min="77" max="77" width="16.1796875" bestFit="1" customWidth="1"/>
    <col min="78" max="78" width="13.36328125" bestFit="1" customWidth="1"/>
    <col min="79" max="79" width="24.6328125" bestFit="1" customWidth="1"/>
    <col min="80" max="80" width="15.7265625" bestFit="1" customWidth="1"/>
    <col min="81" max="81" width="14.6328125" bestFit="1" customWidth="1"/>
    <col min="82" max="83" width="13.36328125" bestFit="1" customWidth="1"/>
    <col min="84" max="84" width="14.90625" bestFit="1" customWidth="1"/>
    <col min="85" max="85" width="12.36328125" bestFit="1" customWidth="1"/>
    <col min="86" max="86" width="13.36328125" bestFit="1" customWidth="1"/>
    <col min="87" max="87" width="14.26953125" bestFit="1" customWidth="1"/>
    <col min="88" max="88" width="17.1796875" bestFit="1" customWidth="1"/>
    <col min="89" max="92" width="13.36328125" bestFit="1" customWidth="1"/>
    <col min="93" max="93" width="5.1796875" bestFit="1" customWidth="1"/>
    <col min="94" max="94" width="15.36328125" bestFit="1" customWidth="1"/>
    <col min="95" max="97" width="13.36328125" bestFit="1" customWidth="1"/>
    <col min="98" max="98" width="18.453125" bestFit="1" customWidth="1"/>
    <col min="99" max="100" width="13.36328125" bestFit="1" customWidth="1"/>
    <col min="101" max="101" width="14.08984375" bestFit="1" customWidth="1"/>
    <col min="102" max="107" width="13.36328125" bestFit="1" customWidth="1"/>
    <col min="108" max="108" width="13.6328125" bestFit="1" customWidth="1"/>
    <col min="109" max="109" width="13.36328125" bestFit="1" customWidth="1"/>
    <col min="110" max="110" width="12.1796875" bestFit="1" customWidth="1"/>
    <col min="111" max="111" width="19.90625" bestFit="1" customWidth="1"/>
    <col min="112" max="112" width="13.36328125" bestFit="1" customWidth="1"/>
    <col min="113" max="113" width="16.1796875" bestFit="1" customWidth="1"/>
    <col min="114" max="120" width="13.36328125" bestFit="1" customWidth="1"/>
    <col min="121" max="121" width="14" bestFit="1" customWidth="1"/>
    <col min="122" max="124" width="13.36328125" bestFit="1" customWidth="1"/>
    <col min="125" max="125" width="14.7265625" bestFit="1" customWidth="1"/>
    <col min="126" max="126" width="14.26953125" bestFit="1" customWidth="1"/>
    <col min="127" max="129" width="13.36328125" bestFit="1" customWidth="1"/>
    <col min="130" max="130" width="11.54296875" bestFit="1" customWidth="1"/>
    <col min="131" max="132" width="13.36328125" bestFit="1" customWidth="1"/>
    <col min="133" max="133" width="15.7265625" bestFit="1" customWidth="1"/>
    <col min="134" max="134" width="13.36328125" bestFit="1" customWidth="1"/>
    <col min="135" max="135" width="16.6328125" bestFit="1" customWidth="1"/>
    <col min="136" max="136" width="13.36328125" bestFit="1" customWidth="1"/>
    <col min="137" max="137" width="14.90625" bestFit="1" customWidth="1"/>
    <col min="138" max="142" width="13.36328125" bestFit="1" customWidth="1"/>
    <col min="143" max="143" width="10.6328125" bestFit="1" customWidth="1"/>
    <col min="144" max="144" width="13.453125" bestFit="1" customWidth="1"/>
    <col min="145" max="149" width="13.36328125" bestFit="1" customWidth="1"/>
    <col min="150" max="150" width="14.08984375" bestFit="1" customWidth="1"/>
    <col min="151" max="151" width="14.7265625" bestFit="1" customWidth="1"/>
    <col min="152" max="153" width="13.36328125" bestFit="1" customWidth="1"/>
    <col min="154" max="154" width="17.90625" bestFit="1" customWidth="1"/>
    <col min="155" max="156" width="13.36328125" bestFit="1" customWidth="1"/>
    <col min="157" max="157" width="15.90625" bestFit="1" customWidth="1"/>
    <col min="158" max="158" width="13.36328125" bestFit="1" customWidth="1"/>
    <col min="159" max="159" width="8.7265625" bestFit="1" customWidth="1"/>
    <col min="160" max="160" width="14.7265625" bestFit="1" customWidth="1"/>
    <col min="161" max="161" width="16.1796875" bestFit="1" customWidth="1"/>
    <col min="162" max="162" width="13.6328125" bestFit="1" customWidth="1"/>
    <col min="163" max="167" width="13.36328125" bestFit="1" customWidth="1"/>
    <col min="168" max="168" width="21.81640625" bestFit="1" customWidth="1"/>
    <col min="169" max="169" width="16.54296875" bestFit="1" customWidth="1"/>
    <col min="170" max="170" width="13.36328125" bestFit="1" customWidth="1"/>
    <col min="171" max="171" width="15.36328125" bestFit="1" customWidth="1"/>
    <col min="172" max="173" width="13.36328125" bestFit="1" customWidth="1"/>
    <col min="174" max="174" width="10.90625" bestFit="1" customWidth="1"/>
    <col min="175" max="178" width="13.36328125" bestFit="1" customWidth="1"/>
    <col min="179" max="179" width="11.08984375" bestFit="1" customWidth="1"/>
    <col min="180" max="180" width="11.453125" bestFit="1" customWidth="1"/>
    <col min="181" max="181" width="13.36328125" bestFit="1" customWidth="1"/>
    <col min="182" max="182" width="18.6328125" bestFit="1" customWidth="1"/>
    <col min="183" max="185" width="13.36328125" bestFit="1" customWidth="1"/>
    <col min="186" max="186" width="14" bestFit="1" customWidth="1"/>
    <col min="187" max="189" width="13.36328125" bestFit="1" customWidth="1"/>
    <col min="190" max="190" width="11.90625" bestFit="1" customWidth="1"/>
    <col min="191" max="191" width="13.36328125" bestFit="1" customWidth="1"/>
    <col min="192" max="192" width="19.26953125" bestFit="1" customWidth="1"/>
    <col min="193" max="194" width="13.36328125" bestFit="1" customWidth="1"/>
    <col min="195" max="195" width="14" bestFit="1" customWidth="1"/>
    <col min="196" max="197" width="13.36328125" bestFit="1" customWidth="1"/>
    <col min="198" max="198" width="13.453125" bestFit="1" customWidth="1"/>
    <col min="199" max="200" width="12.1796875" bestFit="1" customWidth="1"/>
    <col min="201" max="202" width="13.36328125" bestFit="1" customWidth="1"/>
    <col min="203" max="203" width="14.26953125" bestFit="1" customWidth="1"/>
    <col min="204" max="205" width="13.36328125" bestFit="1" customWidth="1"/>
    <col min="206" max="206" width="16.6328125" bestFit="1" customWidth="1"/>
    <col min="207" max="207" width="13.6328125" bestFit="1" customWidth="1"/>
    <col min="208" max="208" width="13.36328125" bestFit="1" customWidth="1"/>
    <col min="209" max="209" width="14.08984375" bestFit="1" customWidth="1"/>
    <col min="210" max="214" width="13.36328125" bestFit="1" customWidth="1"/>
    <col min="215" max="215" width="21" bestFit="1" customWidth="1"/>
    <col min="216" max="216" width="12.1796875" bestFit="1" customWidth="1"/>
    <col min="217" max="218" width="13.36328125" bestFit="1" customWidth="1"/>
    <col min="219" max="219" width="14.6328125" bestFit="1" customWidth="1"/>
    <col min="220" max="222" width="13.36328125" bestFit="1" customWidth="1"/>
    <col min="223" max="223" width="12.1796875" bestFit="1" customWidth="1"/>
    <col min="224" max="229" width="13.36328125" bestFit="1" customWidth="1"/>
    <col min="230" max="230" width="18.26953125" bestFit="1" customWidth="1"/>
    <col min="231" max="233" width="13.36328125" bestFit="1" customWidth="1"/>
    <col min="234" max="234" width="14" bestFit="1" customWidth="1"/>
    <col min="235" max="237" width="13.36328125" bestFit="1" customWidth="1"/>
    <col min="238" max="238" width="16.54296875" bestFit="1" customWidth="1"/>
    <col min="239" max="240" width="13.36328125" bestFit="1" customWidth="1"/>
    <col min="241" max="241" width="12.1796875" bestFit="1" customWidth="1"/>
    <col min="242" max="245" width="13.36328125" bestFit="1" customWidth="1"/>
    <col min="246" max="246" width="17.453125" bestFit="1" customWidth="1"/>
    <col min="247" max="248" width="13.36328125" bestFit="1" customWidth="1"/>
    <col min="249" max="249" width="12.1796875" bestFit="1" customWidth="1"/>
    <col min="250" max="250" width="17.453125" bestFit="1" customWidth="1"/>
    <col min="251" max="251" width="13.1796875" bestFit="1" customWidth="1"/>
    <col min="252" max="255" width="13.36328125" bestFit="1" customWidth="1"/>
    <col min="256" max="256" width="14.08984375" bestFit="1" customWidth="1"/>
    <col min="257" max="258" width="13.36328125" bestFit="1" customWidth="1"/>
    <col min="259" max="259" width="12.1796875" bestFit="1" customWidth="1"/>
    <col min="260" max="260" width="13.36328125" bestFit="1" customWidth="1"/>
    <col min="261" max="261" width="14.08984375" bestFit="1" customWidth="1"/>
    <col min="262" max="266" width="13.36328125" bestFit="1" customWidth="1"/>
    <col min="267" max="267" width="10.90625" bestFit="1" customWidth="1"/>
    <col min="268" max="268" width="13.36328125" bestFit="1" customWidth="1"/>
    <col min="269" max="269" width="13.6328125" bestFit="1" customWidth="1"/>
    <col min="270" max="271" width="13.36328125" bestFit="1" customWidth="1"/>
    <col min="272" max="272" width="14.08984375" bestFit="1" customWidth="1"/>
    <col min="273" max="273" width="11.08984375" bestFit="1" customWidth="1"/>
    <col min="274" max="274" width="18.7265625" bestFit="1" customWidth="1"/>
    <col min="275" max="275" width="13.36328125" bestFit="1" customWidth="1"/>
    <col min="276" max="276" width="8.81640625" bestFit="1" customWidth="1"/>
    <col min="277" max="277" width="17.90625" bestFit="1" customWidth="1"/>
    <col min="278" max="278" width="16.6328125" bestFit="1" customWidth="1"/>
    <col min="279" max="279" width="16.1796875" bestFit="1" customWidth="1"/>
    <col min="280" max="284" width="13.36328125" bestFit="1" customWidth="1"/>
    <col min="285" max="285" width="12.1796875" bestFit="1" customWidth="1"/>
    <col min="286" max="286" width="11.08984375" bestFit="1" customWidth="1"/>
    <col min="287" max="289" width="13.36328125" bestFit="1" customWidth="1"/>
    <col min="290" max="290" width="12.7265625" bestFit="1" customWidth="1"/>
    <col min="291" max="293" width="13.36328125" bestFit="1" customWidth="1"/>
    <col min="294" max="294" width="15.36328125" bestFit="1" customWidth="1"/>
    <col min="295" max="295" width="13.36328125" bestFit="1" customWidth="1"/>
    <col min="296" max="296" width="13" bestFit="1" customWidth="1"/>
    <col min="297" max="302" width="13.36328125" bestFit="1" customWidth="1"/>
    <col min="303" max="303" width="14" bestFit="1" customWidth="1"/>
    <col min="304" max="307" width="13.36328125" bestFit="1" customWidth="1"/>
    <col min="308" max="308" width="13.6328125" bestFit="1" customWidth="1"/>
    <col min="309" max="311" width="13.36328125" bestFit="1" customWidth="1"/>
    <col min="312" max="312" width="14" bestFit="1" customWidth="1"/>
    <col min="313" max="313" width="12.1796875" bestFit="1" customWidth="1"/>
    <col min="314" max="315" width="13.36328125" bestFit="1" customWidth="1"/>
    <col min="316" max="316" width="13.453125" bestFit="1" customWidth="1"/>
    <col min="317" max="317" width="14.90625" bestFit="1" customWidth="1"/>
    <col min="318" max="318" width="14.6328125" bestFit="1" customWidth="1"/>
    <col min="319" max="319" width="15.08984375" bestFit="1" customWidth="1"/>
    <col min="320" max="321" width="13.36328125" bestFit="1" customWidth="1"/>
    <col min="322" max="322" width="15.36328125" bestFit="1" customWidth="1"/>
    <col min="323" max="323" width="13.36328125" bestFit="1" customWidth="1"/>
    <col min="324" max="324" width="14.6328125" bestFit="1" customWidth="1"/>
    <col min="325" max="329" width="13.36328125" bestFit="1" customWidth="1"/>
    <col min="330" max="330" width="10" bestFit="1" customWidth="1"/>
    <col min="331" max="343" width="13.36328125" bestFit="1" customWidth="1"/>
    <col min="344" max="344" width="15.7265625" bestFit="1" customWidth="1"/>
    <col min="345" max="347" width="13.36328125" bestFit="1" customWidth="1"/>
    <col min="348" max="348" width="7.7265625" bestFit="1" customWidth="1"/>
    <col min="349" max="349" width="13.36328125" bestFit="1" customWidth="1"/>
    <col min="350" max="350" width="25" bestFit="1" customWidth="1"/>
    <col min="351" max="351" width="14.08984375" bestFit="1" customWidth="1"/>
    <col min="352" max="352" width="6.81640625" bestFit="1" customWidth="1"/>
    <col min="353" max="353" width="14.08984375" bestFit="1" customWidth="1"/>
    <col min="354" max="354" width="19.7265625" bestFit="1" customWidth="1"/>
    <col min="355" max="355" width="14.90625" bestFit="1" customWidth="1"/>
    <col min="356" max="356" width="9" bestFit="1" customWidth="1"/>
    <col min="357" max="357" width="13.36328125" bestFit="1" customWidth="1"/>
    <col min="358" max="358" width="10" bestFit="1" customWidth="1"/>
    <col min="359" max="360" width="13.36328125" bestFit="1" customWidth="1"/>
    <col min="361" max="361" width="15.26953125" bestFit="1" customWidth="1"/>
    <col min="362" max="362" width="16.81640625" bestFit="1" customWidth="1"/>
    <col min="363" max="369" width="13.36328125" bestFit="1" customWidth="1"/>
    <col min="370" max="370" width="12.1796875" bestFit="1" customWidth="1"/>
    <col min="371" max="371" width="13.36328125" bestFit="1" customWidth="1"/>
    <col min="372" max="372" width="15.7265625" bestFit="1" customWidth="1"/>
    <col min="373" max="376" width="13.36328125" bestFit="1" customWidth="1"/>
    <col min="377" max="377" width="17.453125" bestFit="1" customWidth="1"/>
    <col min="378" max="378" width="13.81640625" bestFit="1" customWidth="1"/>
    <col min="379" max="379" width="13.36328125" bestFit="1" customWidth="1"/>
    <col min="380" max="380" width="11.08984375" bestFit="1" customWidth="1"/>
    <col min="381" max="382" width="13.36328125" bestFit="1" customWidth="1"/>
    <col min="383" max="383" width="19.36328125" bestFit="1" customWidth="1"/>
    <col min="384" max="384" width="13.36328125" bestFit="1" customWidth="1"/>
    <col min="385" max="385" width="16.81640625" bestFit="1" customWidth="1"/>
    <col min="386" max="387" width="13.36328125" bestFit="1" customWidth="1"/>
    <col min="388" max="388" width="14" bestFit="1" customWidth="1"/>
    <col min="389" max="395" width="13.36328125" bestFit="1" customWidth="1"/>
    <col min="396" max="397" width="14.08984375" bestFit="1" customWidth="1"/>
    <col min="398" max="398" width="14.26953125" bestFit="1" customWidth="1"/>
    <col min="399" max="399" width="15.26953125" bestFit="1" customWidth="1"/>
    <col min="400" max="400" width="12.1796875" bestFit="1" customWidth="1"/>
    <col min="401" max="407" width="13.36328125" bestFit="1" customWidth="1"/>
    <col min="408" max="408" width="25.453125" bestFit="1" customWidth="1"/>
    <col min="409" max="409" width="13.36328125" bestFit="1" customWidth="1"/>
    <col min="410" max="410" width="15.26953125" bestFit="1" customWidth="1"/>
    <col min="411" max="411" width="24.81640625" bestFit="1" customWidth="1"/>
    <col min="412" max="413" width="13.36328125" bestFit="1" customWidth="1"/>
    <col min="414" max="414" width="22.453125" bestFit="1" customWidth="1"/>
    <col min="415" max="415" width="15.36328125" bestFit="1" customWidth="1"/>
    <col min="416" max="416" width="13.36328125" bestFit="1" customWidth="1"/>
    <col min="417" max="417" width="16.1796875" bestFit="1" customWidth="1"/>
    <col min="418" max="418" width="13.6328125" bestFit="1" customWidth="1"/>
    <col min="419" max="419" width="10.453125" bestFit="1" customWidth="1"/>
    <col min="420" max="424" width="13.36328125" bestFit="1" customWidth="1"/>
    <col min="425" max="425" width="12.1796875" bestFit="1" customWidth="1"/>
    <col min="426" max="426" width="13.453125" bestFit="1" customWidth="1"/>
    <col min="427" max="427" width="13.36328125" bestFit="1" customWidth="1"/>
    <col min="428" max="428" width="11.7265625" bestFit="1" customWidth="1"/>
    <col min="429" max="429" width="13.36328125" bestFit="1" customWidth="1"/>
    <col min="430" max="430" width="13.453125" bestFit="1" customWidth="1"/>
    <col min="431" max="431" width="17.1796875" bestFit="1" customWidth="1"/>
    <col min="432" max="432" width="12.1796875" bestFit="1" customWidth="1"/>
    <col min="433" max="437" width="13.36328125" bestFit="1" customWidth="1"/>
    <col min="438" max="438" width="14.7265625" bestFit="1" customWidth="1"/>
    <col min="439" max="439" width="13.36328125" bestFit="1" customWidth="1"/>
    <col min="440" max="440" width="28.453125" bestFit="1" customWidth="1"/>
    <col min="441" max="441" width="13.36328125" bestFit="1" customWidth="1"/>
    <col min="442" max="442" width="15.54296875" bestFit="1" customWidth="1"/>
    <col min="443" max="444" width="13.36328125" bestFit="1" customWidth="1"/>
    <col min="445" max="445" width="8.08984375" bestFit="1" customWidth="1"/>
    <col min="446" max="447" width="13.36328125" bestFit="1" customWidth="1"/>
    <col min="448" max="448" width="12.1796875" bestFit="1" customWidth="1"/>
    <col min="449" max="450" width="13.36328125" bestFit="1" customWidth="1"/>
    <col min="451" max="451" width="18.453125" bestFit="1" customWidth="1"/>
    <col min="452" max="452" width="13.36328125" bestFit="1" customWidth="1"/>
    <col min="453" max="453" width="14" bestFit="1" customWidth="1"/>
    <col min="454" max="455" width="13.36328125" bestFit="1" customWidth="1"/>
    <col min="456" max="456" width="12.1796875" bestFit="1" customWidth="1"/>
    <col min="457" max="457" width="13.36328125" bestFit="1" customWidth="1"/>
    <col min="458" max="458" width="15.7265625" bestFit="1" customWidth="1"/>
    <col min="459" max="461" width="13.36328125" bestFit="1" customWidth="1"/>
    <col min="462" max="462" width="15.26953125" bestFit="1" customWidth="1"/>
    <col min="463" max="463" width="19.54296875" bestFit="1" customWidth="1"/>
    <col min="464" max="466" width="13.36328125" bestFit="1" customWidth="1"/>
    <col min="467" max="467" width="15.26953125" bestFit="1" customWidth="1"/>
    <col min="468" max="468" width="13.36328125" bestFit="1" customWidth="1"/>
    <col min="469" max="469" width="14.08984375" bestFit="1" customWidth="1"/>
    <col min="470" max="470" width="13.81640625" bestFit="1" customWidth="1"/>
    <col min="471" max="471" width="21.90625" bestFit="1" customWidth="1"/>
    <col min="472" max="472" width="12.1796875" bestFit="1" customWidth="1"/>
    <col min="473" max="473" width="15.26953125" bestFit="1" customWidth="1"/>
    <col min="474" max="474" width="13.6328125" bestFit="1" customWidth="1"/>
    <col min="475" max="475" width="13.36328125" bestFit="1" customWidth="1"/>
    <col min="476" max="476" width="14" bestFit="1" customWidth="1"/>
    <col min="477" max="477" width="13.36328125" bestFit="1" customWidth="1"/>
    <col min="478" max="478" width="13.453125" bestFit="1" customWidth="1"/>
    <col min="479" max="484" width="13.36328125" bestFit="1" customWidth="1"/>
    <col min="485" max="485" width="15.90625" bestFit="1" customWidth="1"/>
    <col min="486" max="486" width="12.1796875" bestFit="1" customWidth="1"/>
    <col min="487" max="487" width="18.453125" bestFit="1" customWidth="1"/>
    <col min="488" max="491" width="13.36328125" bestFit="1" customWidth="1"/>
    <col min="492" max="492" width="12.1796875" bestFit="1" customWidth="1"/>
    <col min="493" max="496" width="13.36328125" bestFit="1" customWidth="1"/>
    <col min="497" max="497" width="18.08984375" bestFit="1" customWidth="1"/>
    <col min="498" max="499" width="13" bestFit="1" customWidth="1"/>
    <col min="500" max="501" width="13.36328125" bestFit="1" customWidth="1"/>
    <col min="502" max="502" width="12.1796875" bestFit="1" customWidth="1"/>
    <col min="503" max="503" width="13.36328125" bestFit="1" customWidth="1"/>
    <col min="504" max="504" width="13.81640625" bestFit="1" customWidth="1"/>
    <col min="505" max="507" width="13.36328125" bestFit="1" customWidth="1"/>
    <col min="508" max="508" width="12.1796875" bestFit="1" customWidth="1"/>
    <col min="509" max="509" width="19.7265625" bestFit="1" customWidth="1"/>
    <col min="510" max="510" width="16.36328125" bestFit="1" customWidth="1"/>
    <col min="511" max="512" width="13.36328125" bestFit="1" customWidth="1"/>
    <col min="513" max="513" width="15.90625" bestFit="1" customWidth="1"/>
    <col min="514" max="515" width="13.36328125" bestFit="1" customWidth="1"/>
    <col min="516" max="516" width="19.7265625" bestFit="1" customWidth="1"/>
    <col min="517" max="517" width="13.36328125" bestFit="1" customWidth="1"/>
    <col min="518" max="518" width="15.54296875" bestFit="1" customWidth="1"/>
    <col min="519" max="519" width="15.08984375" bestFit="1" customWidth="1"/>
    <col min="520" max="523" width="13.36328125" bestFit="1" customWidth="1"/>
    <col min="524" max="524" width="10" bestFit="1" customWidth="1"/>
    <col min="525" max="525" width="6.6328125" bestFit="1" customWidth="1"/>
    <col min="526" max="528" width="13.36328125" bestFit="1" customWidth="1"/>
    <col min="529" max="529" width="12.1796875" bestFit="1" customWidth="1"/>
    <col min="530" max="538" width="13.36328125" bestFit="1" customWidth="1"/>
    <col min="539" max="539" width="14.08984375" bestFit="1" customWidth="1"/>
    <col min="540" max="541" width="13.36328125" bestFit="1" customWidth="1"/>
    <col min="542" max="542" width="12.1796875" bestFit="1" customWidth="1"/>
    <col min="543" max="546" width="13.36328125" bestFit="1" customWidth="1"/>
    <col min="547" max="547" width="14.6328125" bestFit="1" customWidth="1"/>
    <col min="548" max="549" width="13.36328125" bestFit="1" customWidth="1"/>
    <col min="550" max="550" width="14.6328125" bestFit="1" customWidth="1"/>
    <col min="551" max="551" width="13.36328125" bestFit="1" customWidth="1"/>
    <col min="552" max="552" width="11.08984375" bestFit="1" customWidth="1"/>
    <col min="553" max="554" width="13.36328125" bestFit="1" customWidth="1"/>
    <col min="555" max="555" width="15.7265625" bestFit="1" customWidth="1"/>
    <col min="556" max="558" width="13.36328125" bestFit="1" customWidth="1"/>
    <col min="559" max="559" width="16.81640625" bestFit="1" customWidth="1"/>
    <col min="560" max="560" width="17.90625" bestFit="1" customWidth="1"/>
    <col min="561" max="562" width="13.36328125" bestFit="1" customWidth="1"/>
    <col min="563" max="563" width="14" bestFit="1" customWidth="1"/>
    <col min="564" max="566" width="13.36328125" bestFit="1" customWidth="1"/>
    <col min="567" max="567" width="17.26953125" bestFit="1" customWidth="1"/>
    <col min="568" max="568" width="15.08984375" bestFit="1" customWidth="1"/>
    <col min="569" max="569" width="13.36328125" bestFit="1" customWidth="1"/>
    <col min="570" max="570" width="14.08984375" bestFit="1" customWidth="1"/>
    <col min="571" max="571" width="15.26953125" bestFit="1" customWidth="1"/>
    <col min="572" max="572" width="14.7265625" bestFit="1" customWidth="1"/>
    <col min="573" max="574" width="13.36328125" bestFit="1" customWidth="1"/>
    <col min="575" max="575" width="13.81640625" bestFit="1" customWidth="1"/>
    <col min="576" max="578" width="13.36328125" bestFit="1" customWidth="1"/>
    <col min="579" max="579" width="12.1796875" bestFit="1" customWidth="1"/>
    <col min="580" max="580" width="11.453125" bestFit="1" customWidth="1"/>
    <col min="581" max="585" width="13.36328125" bestFit="1" customWidth="1"/>
    <col min="586" max="586" width="13.6328125" bestFit="1" customWidth="1"/>
    <col min="587" max="588" width="13.36328125" bestFit="1" customWidth="1"/>
    <col min="589" max="589" width="13.453125" bestFit="1" customWidth="1"/>
    <col min="590" max="590" width="13.36328125" bestFit="1" customWidth="1"/>
    <col min="591" max="591" width="14" bestFit="1" customWidth="1"/>
    <col min="592" max="592" width="15.08984375" bestFit="1" customWidth="1"/>
    <col min="593" max="594" width="13.36328125" bestFit="1" customWidth="1"/>
    <col min="595" max="595" width="14.6328125" bestFit="1" customWidth="1"/>
    <col min="596" max="596" width="12.1796875" bestFit="1" customWidth="1"/>
    <col min="597" max="597" width="13.36328125" bestFit="1" customWidth="1"/>
    <col min="598" max="598" width="14.26953125" bestFit="1" customWidth="1"/>
    <col min="599" max="599" width="14.90625" bestFit="1" customWidth="1"/>
    <col min="600" max="602" width="13.36328125" bestFit="1" customWidth="1"/>
    <col min="603" max="603" width="17.1796875" bestFit="1" customWidth="1"/>
    <col min="604" max="605" width="13.36328125" bestFit="1" customWidth="1"/>
    <col min="606" max="606" width="11.54296875" bestFit="1" customWidth="1"/>
    <col min="607" max="607" width="13.36328125" bestFit="1" customWidth="1"/>
    <col min="608" max="608" width="16" bestFit="1" customWidth="1"/>
    <col min="609" max="611" width="13.36328125" bestFit="1" customWidth="1"/>
    <col min="612" max="612" width="12.1796875" bestFit="1" customWidth="1"/>
    <col min="613" max="621" width="13.36328125" bestFit="1" customWidth="1"/>
    <col min="622" max="622" width="14" bestFit="1" customWidth="1"/>
    <col min="623" max="623" width="13.36328125" bestFit="1" customWidth="1"/>
    <col min="624" max="624" width="13.81640625" bestFit="1" customWidth="1"/>
    <col min="625" max="625" width="18.26953125" bestFit="1" customWidth="1"/>
    <col min="626" max="626" width="13.36328125" bestFit="1" customWidth="1"/>
    <col min="627" max="627" width="13.453125" bestFit="1" customWidth="1"/>
    <col min="628" max="630" width="13.36328125" bestFit="1" customWidth="1"/>
    <col min="631" max="631" width="15.90625" bestFit="1" customWidth="1"/>
    <col min="632" max="633" width="13.36328125" bestFit="1" customWidth="1"/>
    <col min="634" max="635" width="10.453125" bestFit="1" customWidth="1"/>
    <col min="636" max="642" width="13.36328125" bestFit="1" customWidth="1"/>
    <col min="643" max="643" width="17.453125" bestFit="1" customWidth="1"/>
    <col min="644" max="646" width="13.36328125" bestFit="1" customWidth="1"/>
    <col min="647" max="647" width="12.1796875" bestFit="1" customWidth="1"/>
    <col min="648" max="648" width="13.36328125" bestFit="1" customWidth="1"/>
    <col min="649" max="649" width="13.453125" bestFit="1" customWidth="1"/>
    <col min="650" max="656" width="13.36328125" bestFit="1" customWidth="1"/>
    <col min="657" max="657" width="11.453125" bestFit="1" customWidth="1"/>
    <col min="658" max="658" width="11.90625" bestFit="1" customWidth="1"/>
    <col min="659" max="659" width="17.90625" bestFit="1" customWidth="1"/>
    <col min="660" max="673" width="13.36328125" bestFit="1" customWidth="1"/>
    <col min="674" max="674" width="13.453125" bestFit="1" customWidth="1"/>
    <col min="675" max="675" width="13.6328125" bestFit="1" customWidth="1"/>
    <col min="676" max="677" width="13.36328125" bestFit="1" customWidth="1"/>
    <col min="678" max="678" width="25.453125" bestFit="1" customWidth="1"/>
    <col min="679" max="679" width="9.1796875" bestFit="1" customWidth="1"/>
    <col min="680" max="680" width="13.36328125" bestFit="1" customWidth="1"/>
    <col min="681" max="681" width="15.08984375" bestFit="1" customWidth="1"/>
    <col min="682" max="687" width="13.36328125" bestFit="1" customWidth="1"/>
    <col min="688" max="688" width="14.26953125" bestFit="1" customWidth="1"/>
    <col min="689" max="689" width="14" bestFit="1" customWidth="1"/>
    <col min="690" max="693" width="13.36328125" bestFit="1" customWidth="1"/>
    <col min="694" max="694" width="12.36328125" bestFit="1" customWidth="1"/>
    <col min="695" max="695" width="9.36328125" bestFit="1" customWidth="1"/>
    <col min="696" max="696" width="13.81640625" bestFit="1" customWidth="1"/>
    <col min="697" max="697" width="15.08984375" bestFit="1" customWidth="1"/>
    <col min="698" max="703" width="13.36328125" bestFit="1" customWidth="1"/>
    <col min="704" max="704" width="14.6328125" bestFit="1" customWidth="1"/>
    <col min="705" max="706" width="14" bestFit="1" customWidth="1"/>
    <col min="707" max="707" width="21.26953125" bestFit="1" customWidth="1"/>
    <col min="708" max="708" width="14.26953125" bestFit="1" customWidth="1"/>
    <col min="709" max="710" width="13.36328125" bestFit="1" customWidth="1"/>
    <col min="711" max="711" width="13.6328125" bestFit="1" customWidth="1"/>
    <col min="712" max="713" width="13.36328125" bestFit="1" customWidth="1"/>
    <col min="714" max="714" width="13.81640625" bestFit="1" customWidth="1"/>
    <col min="715" max="718" width="13.36328125" bestFit="1" customWidth="1"/>
    <col min="719" max="719" width="13.453125" bestFit="1" customWidth="1"/>
    <col min="720" max="720" width="19.26953125" bestFit="1" customWidth="1"/>
    <col min="721" max="721" width="13.6328125" bestFit="1" customWidth="1"/>
    <col min="722" max="722" width="16.36328125" bestFit="1" customWidth="1"/>
    <col min="723" max="732" width="13.36328125" bestFit="1" customWidth="1"/>
    <col min="733" max="733" width="15.90625" bestFit="1" customWidth="1"/>
    <col min="734" max="734" width="13.36328125" bestFit="1" customWidth="1"/>
    <col min="735" max="735" width="5.54296875" bestFit="1" customWidth="1"/>
    <col min="736" max="736" width="15.26953125" bestFit="1" customWidth="1"/>
    <col min="737" max="737" width="15.36328125" bestFit="1" customWidth="1"/>
    <col min="738" max="740" width="13.36328125" bestFit="1" customWidth="1"/>
    <col min="741" max="741" width="14" bestFit="1" customWidth="1"/>
    <col min="742" max="747" width="13.36328125" bestFit="1" customWidth="1"/>
    <col min="748" max="748" width="14.90625" bestFit="1" customWidth="1"/>
    <col min="749" max="753" width="13.36328125" bestFit="1" customWidth="1"/>
    <col min="754" max="754" width="16" bestFit="1" customWidth="1"/>
    <col min="755" max="755" width="14.90625" bestFit="1" customWidth="1"/>
    <col min="756" max="756" width="13.36328125" bestFit="1" customWidth="1"/>
    <col min="757" max="757" width="16.36328125" bestFit="1" customWidth="1"/>
    <col min="758" max="758" width="13.36328125" bestFit="1" customWidth="1"/>
    <col min="759" max="759" width="24.36328125" bestFit="1" customWidth="1"/>
    <col min="760" max="760" width="20.36328125" bestFit="1" customWidth="1"/>
    <col min="761" max="761" width="13.36328125" bestFit="1" customWidth="1"/>
    <col min="762" max="762" width="22.7265625" bestFit="1" customWidth="1"/>
    <col min="763" max="763" width="15.36328125" bestFit="1" customWidth="1"/>
    <col min="764" max="769" width="13.36328125" bestFit="1" customWidth="1"/>
    <col min="770" max="770" width="15.08984375" bestFit="1" customWidth="1"/>
    <col min="771" max="771" width="13.6328125" bestFit="1" customWidth="1"/>
    <col min="772" max="775" width="13.36328125" bestFit="1" customWidth="1"/>
    <col min="776" max="776" width="16.54296875" bestFit="1" customWidth="1"/>
    <col min="777" max="777" width="13.36328125" bestFit="1" customWidth="1"/>
    <col min="778" max="778" width="13.6328125" bestFit="1" customWidth="1"/>
    <col min="779" max="780" width="13.36328125" bestFit="1" customWidth="1"/>
    <col min="781" max="781" width="15.26953125" bestFit="1" customWidth="1"/>
    <col min="782" max="782" width="13.36328125" bestFit="1" customWidth="1"/>
    <col min="783" max="783" width="16.6328125" bestFit="1" customWidth="1"/>
    <col min="784" max="788" width="13.36328125" bestFit="1" customWidth="1"/>
    <col min="789" max="789" width="14.6328125" bestFit="1" customWidth="1"/>
    <col min="790" max="790" width="10.453125" bestFit="1" customWidth="1"/>
    <col min="791" max="791" width="13.36328125" bestFit="1" customWidth="1"/>
    <col min="792" max="792" width="16.36328125" bestFit="1" customWidth="1"/>
    <col min="793" max="793" width="13.36328125" bestFit="1" customWidth="1"/>
    <col min="794" max="794" width="11.7265625" bestFit="1" customWidth="1"/>
    <col min="795" max="799" width="13.36328125" bestFit="1" customWidth="1"/>
    <col min="800" max="800" width="13.6328125" bestFit="1" customWidth="1"/>
    <col min="801" max="804" width="13.36328125" bestFit="1" customWidth="1"/>
    <col min="805" max="805" width="15.08984375" bestFit="1" customWidth="1"/>
    <col min="806" max="806" width="14.08984375" bestFit="1" customWidth="1"/>
    <col min="807" max="809" width="13.36328125" bestFit="1" customWidth="1"/>
    <col min="810" max="810" width="14" bestFit="1" customWidth="1"/>
    <col min="811" max="811" width="13.36328125" bestFit="1" customWidth="1"/>
    <col min="812" max="812" width="15.54296875" bestFit="1" customWidth="1"/>
    <col min="813" max="813" width="12.1796875" bestFit="1" customWidth="1"/>
    <col min="814" max="814" width="15.08984375" bestFit="1" customWidth="1"/>
    <col min="815" max="815" width="14.08984375" bestFit="1" customWidth="1"/>
    <col min="816" max="816" width="15.54296875" bestFit="1" customWidth="1"/>
    <col min="817" max="817" width="13.81640625" bestFit="1" customWidth="1"/>
    <col min="818" max="818" width="13.36328125" bestFit="1" customWidth="1"/>
    <col min="819" max="819" width="24.36328125" bestFit="1" customWidth="1"/>
    <col min="820" max="820" width="13.1796875" bestFit="1" customWidth="1"/>
    <col min="821" max="822" width="13.36328125" bestFit="1" customWidth="1"/>
    <col min="823" max="823" width="18.7265625" bestFit="1" customWidth="1"/>
    <col min="824" max="824" width="12.08984375" bestFit="1" customWidth="1"/>
    <col min="825" max="825" width="12.1796875" bestFit="1" customWidth="1"/>
    <col min="826" max="826" width="16" bestFit="1" customWidth="1"/>
    <col min="827" max="828" width="13.36328125" bestFit="1" customWidth="1"/>
    <col min="829" max="829" width="28.1796875" bestFit="1" customWidth="1"/>
    <col min="830" max="831" width="13.36328125" bestFit="1" customWidth="1"/>
    <col min="832" max="832" width="12.1796875" bestFit="1" customWidth="1"/>
    <col min="833" max="833" width="16.6328125" bestFit="1" customWidth="1"/>
    <col min="834" max="834" width="13.36328125" bestFit="1" customWidth="1"/>
    <col min="835" max="835" width="16" bestFit="1" customWidth="1"/>
    <col min="836" max="839" width="13.36328125" bestFit="1" customWidth="1"/>
    <col min="840" max="840" width="14.90625" bestFit="1" customWidth="1"/>
    <col min="841" max="842" width="13.36328125" bestFit="1" customWidth="1"/>
    <col min="843" max="843" width="14" bestFit="1" customWidth="1"/>
    <col min="844" max="844" width="15.54296875" bestFit="1" customWidth="1"/>
    <col min="845" max="845" width="13.36328125" bestFit="1" customWidth="1"/>
    <col min="846" max="846" width="15.54296875" bestFit="1" customWidth="1"/>
    <col min="847" max="848" width="13.36328125" bestFit="1" customWidth="1"/>
    <col min="849" max="849" width="15.54296875" bestFit="1" customWidth="1"/>
    <col min="850" max="850" width="17.1796875" bestFit="1" customWidth="1"/>
    <col min="851" max="851" width="14.08984375" bestFit="1" customWidth="1"/>
    <col min="852" max="852" width="13.36328125" bestFit="1" customWidth="1"/>
    <col min="853" max="853" width="17.1796875" bestFit="1" customWidth="1"/>
    <col min="854" max="854" width="21.453125" bestFit="1" customWidth="1"/>
    <col min="855" max="855" width="20.1796875" bestFit="1" customWidth="1"/>
    <col min="856" max="856" width="13.36328125" bestFit="1" customWidth="1"/>
    <col min="857" max="857" width="14.7265625" bestFit="1" customWidth="1"/>
    <col min="858" max="858" width="12.54296875" bestFit="1" customWidth="1"/>
    <col min="859" max="860" width="13.36328125" bestFit="1" customWidth="1"/>
    <col min="861" max="861" width="14.6328125" bestFit="1" customWidth="1"/>
    <col min="862" max="862" width="13.36328125" bestFit="1" customWidth="1"/>
    <col min="863" max="863" width="8.1796875" bestFit="1" customWidth="1"/>
    <col min="864" max="864" width="17.6328125" bestFit="1" customWidth="1"/>
    <col min="865" max="865" width="15.26953125" bestFit="1" customWidth="1"/>
    <col min="866" max="866" width="12.1796875" bestFit="1" customWidth="1"/>
    <col min="867" max="867" width="14.08984375" bestFit="1" customWidth="1"/>
    <col min="868" max="868" width="7.7265625" bestFit="1" customWidth="1"/>
    <col min="869" max="869" width="9.6328125" bestFit="1" customWidth="1"/>
    <col min="870" max="870" width="13.36328125" bestFit="1" customWidth="1"/>
    <col min="871" max="871" width="15.7265625" bestFit="1" customWidth="1"/>
    <col min="872" max="872" width="13.36328125" bestFit="1" customWidth="1"/>
    <col min="873" max="873" width="8.81640625" bestFit="1" customWidth="1"/>
    <col min="874" max="874" width="13.36328125" bestFit="1" customWidth="1"/>
    <col min="875" max="875" width="12.08984375" bestFit="1" customWidth="1"/>
    <col min="876" max="878" width="13.36328125" bestFit="1" customWidth="1"/>
    <col min="879" max="879" width="13.453125" bestFit="1" customWidth="1"/>
    <col min="880" max="882" width="13.36328125" bestFit="1" customWidth="1"/>
    <col min="883" max="883" width="10" bestFit="1" customWidth="1"/>
    <col min="884" max="886" width="13.36328125" bestFit="1" customWidth="1"/>
    <col min="887" max="887" width="14.90625" bestFit="1" customWidth="1"/>
    <col min="888" max="888" width="13.36328125" bestFit="1" customWidth="1"/>
    <col min="889" max="889" width="13.453125" bestFit="1" customWidth="1"/>
    <col min="890" max="890" width="15.26953125" bestFit="1" customWidth="1"/>
    <col min="891" max="891" width="13.36328125" bestFit="1" customWidth="1"/>
    <col min="892" max="892" width="14.7265625" bestFit="1" customWidth="1"/>
    <col min="893" max="893" width="13.453125" bestFit="1" customWidth="1"/>
    <col min="894" max="894" width="15.26953125" bestFit="1" customWidth="1"/>
    <col min="895" max="895" width="14.08984375" bestFit="1" customWidth="1"/>
    <col min="896" max="896" width="14.6328125" bestFit="1" customWidth="1"/>
    <col min="897" max="898" width="13.36328125" bestFit="1" customWidth="1"/>
    <col min="899" max="899" width="10.453125" bestFit="1" customWidth="1"/>
    <col min="900" max="900" width="13.36328125" bestFit="1" customWidth="1"/>
    <col min="901" max="901" width="13.81640625" bestFit="1" customWidth="1"/>
    <col min="902" max="910" width="13.36328125" bestFit="1" customWidth="1"/>
    <col min="911" max="911" width="14.6328125" bestFit="1" customWidth="1"/>
    <col min="912" max="914" width="13.36328125" bestFit="1" customWidth="1"/>
    <col min="915" max="915" width="18.6328125" bestFit="1" customWidth="1"/>
    <col min="916" max="917" width="13.36328125" bestFit="1" customWidth="1"/>
    <col min="918" max="918" width="13.6328125" bestFit="1" customWidth="1"/>
    <col min="919" max="919" width="17.6328125" bestFit="1" customWidth="1"/>
    <col min="920" max="921" width="13.36328125" bestFit="1" customWidth="1"/>
    <col min="922" max="922" width="12.1796875" bestFit="1" customWidth="1"/>
    <col min="923" max="931" width="13.36328125" bestFit="1" customWidth="1"/>
    <col min="932" max="933" width="12.1796875" bestFit="1" customWidth="1"/>
    <col min="934" max="935" width="13.36328125" bestFit="1" customWidth="1"/>
    <col min="936" max="936" width="12.1796875" bestFit="1" customWidth="1"/>
    <col min="937" max="940" width="13.36328125" bestFit="1" customWidth="1"/>
    <col min="941" max="941" width="13.81640625" bestFit="1" customWidth="1"/>
    <col min="942" max="943" width="13.36328125" bestFit="1" customWidth="1"/>
    <col min="944" max="944" width="12.1796875" bestFit="1" customWidth="1"/>
    <col min="945" max="945" width="18.08984375" bestFit="1" customWidth="1"/>
    <col min="946" max="948" width="13.36328125" bestFit="1" customWidth="1"/>
    <col min="949" max="949" width="14" bestFit="1" customWidth="1"/>
    <col min="950" max="955" width="13.36328125" bestFit="1" customWidth="1"/>
    <col min="956" max="956" width="13.453125" bestFit="1" customWidth="1"/>
    <col min="957" max="957" width="13.36328125" bestFit="1" customWidth="1"/>
    <col min="958" max="958" width="12.1796875" bestFit="1" customWidth="1"/>
    <col min="959" max="960" width="13.36328125" bestFit="1" customWidth="1"/>
    <col min="961" max="961" width="16.36328125" bestFit="1" customWidth="1"/>
    <col min="962" max="962" width="13.36328125" bestFit="1" customWidth="1"/>
  </cols>
  <sheetData>
    <row r="1" spans="1:8" x14ac:dyDescent="0.35">
      <c r="A1" s="3" t="s">
        <v>4</v>
      </c>
      <c r="B1" t="s">
        <v>3021</v>
      </c>
    </row>
    <row r="3" spans="1:8" x14ac:dyDescent="0.35">
      <c r="A3" s="3" t="s">
        <v>3017</v>
      </c>
      <c r="B3" t="s">
        <v>3019</v>
      </c>
      <c r="C3" t="s">
        <v>3020</v>
      </c>
      <c r="G3" s="3" t="s">
        <v>3017</v>
      </c>
      <c r="H3" t="s">
        <v>3019</v>
      </c>
    </row>
    <row r="4" spans="1:8" x14ac:dyDescent="0.35">
      <c r="A4" s="4" t="s">
        <v>2902</v>
      </c>
      <c r="B4" s="5">
        <v>0.25965384615384618</v>
      </c>
      <c r="C4" s="6">
        <v>1</v>
      </c>
      <c r="G4" s="4" t="s">
        <v>2916</v>
      </c>
      <c r="H4" s="5">
        <v>0.15082857142857142</v>
      </c>
    </row>
    <row r="5" spans="1:8" x14ac:dyDescent="0.35">
      <c r="A5" s="4" t="s">
        <v>310</v>
      </c>
      <c r="B5" s="5">
        <v>0.15294918907071889</v>
      </c>
      <c r="C5" s="6">
        <v>4</v>
      </c>
      <c r="G5" s="4" t="s">
        <v>302</v>
      </c>
      <c r="H5" s="5">
        <v>9.3635375202712673E-2</v>
      </c>
    </row>
    <row r="6" spans="1:8" x14ac:dyDescent="0.35">
      <c r="A6" s="4" t="s">
        <v>2916</v>
      </c>
      <c r="B6" s="5">
        <v>0.15082857142857142</v>
      </c>
      <c r="C6" s="6">
        <v>1</v>
      </c>
      <c r="G6" s="4" t="s">
        <v>384</v>
      </c>
      <c r="H6" s="5">
        <v>4.9586776859504134E-2</v>
      </c>
    </row>
    <row r="7" spans="1:8" x14ac:dyDescent="0.35">
      <c r="A7" s="4" t="s">
        <v>542</v>
      </c>
      <c r="B7" s="5">
        <v>0.12731514830508472</v>
      </c>
      <c r="C7" s="6">
        <v>2</v>
      </c>
      <c r="G7" s="4" t="s">
        <v>2809</v>
      </c>
      <c r="H7" s="5">
        <v>3.7197183098591546E-2</v>
      </c>
    </row>
    <row r="8" spans="1:8" x14ac:dyDescent="0.35">
      <c r="A8" s="4" t="s">
        <v>3001</v>
      </c>
      <c r="B8" s="5">
        <v>0.10854999999999999</v>
      </c>
      <c r="C8" s="6">
        <v>1</v>
      </c>
      <c r="G8" s="4" t="s">
        <v>180</v>
      </c>
      <c r="H8" s="5">
        <v>2.5321407275078256E-2</v>
      </c>
    </row>
    <row r="9" spans="1:8" x14ac:dyDescent="0.35">
      <c r="A9" s="4" t="s">
        <v>76</v>
      </c>
      <c r="B9" s="5">
        <v>9.7596189744464337E-2</v>
      </c>
      <c r="C9" s="6">
        <v>25</v>
      </c>
      <c r="G9" s="4" t="s">
        <v>1050</v>
      </c>
      <c r="H9" s="5">
        <v>2.0365217391304348E-2</v>
      </c>
    </row>
    <row r="10" spans="1:8" x14ac:dyDescent="0.35">
      <c r="A10" s="4" t="s">
        <v>2370</v>
      </c>
      <c r="B10" s="5">
        <v>9.6576923076923074E-2</v>
      </c>
      <c r="C10" s="6">
        <v>1</v>
      </c>
      <c r="G10" s="4" t="s">
        <v>879</v>
      </c>
      <c r="H10" s="5">
        <v>3.3352165725047079E-3</v>
      </c>
    </row>
    <row r="11" spans="1:8" x14ac:dyDescent="0.35">
      <c r="A11" s="4" t="s">
        <v>259</v>
      </c>
      <c r="B11" s="5">
        <v>9.45945945945946E-2</v>
      </c>
      <c r="C11" s="6">
        <v>1</v>
      </c>
      <c r="G11" s="4" t="s">
        <v>3018</v>
      </c>
      <c r="H11" s="5">
        <v>4.9988122259655869E-2</v>
      </c>
    </row>
    <row r="12" spans="1:8" x14ac:dyDescent="0.35">
      <c r="A12" s="4" t="s">
        <v>302</v>
      </c>
      <c r="B12" s="5">
        <v>9.3635375202712673E-2</v>
      </c>
      <c r="C12" s="6">
        <v>2</v>
      </c>
    </row>
    <row r="13" spans="1:8" x14ac:dyDescent="0.35">
      <c r="A13" s="4" t="s">
        <v>1072</v>
      </c>
      <c r="B13" s="5">
        <v>9.0969999999999995E-2</v>
      </c>
      <c r="C13" s="6">
        <v>1</v>
      </c>
    </row>
    <row r="14" spans="1:8" x14ac:dyDescent="0.35">
      <c r="A14" s="4" t="s">
        <v>3018</v>
      </c>
      <c r="B14" s="5">
        <v>0.11012247390164141</v>
      </c>
      <c r="C14" s="6">
        <v>39</v>
      </c>
    </row>
    <row r="56" spans="1:2" x14ac:dyDescent="0.35">
      <c r="A56" s="3" t="s">
        <v>3017</v>
      </c>
      <c r="B56" t="s">
        <v>3019</v>
      </c>
    </row>
    <row r="57" spans="1:2" x14ac:dyDescent="0.35">
      <c r="A57" s="4" t="s">
        <v>3023</v>
      </c>
      <c r="B57" s="5">
        <v>8.0699345916564927E-2</v>
      </c>
    </row>
    <row r="58" spans="1:2" x14ac:dyDescent="0.35">
      <c r="A58" s="4" t="s">
        <v>3024</v>
      </c>
      <c r="B58" s="5">
        <v>2.6524897032845034E-2</v>
      </c>
    </row>
    <row r="59" spans="1:2" x14ac:dyDescent="0.35">
      <c r="A59" s="4" t="s">
        <v>3025</v>
      </c>
      <c r="B59" s="5">
        <v>1.6086829095633734E-2</v>
      </c>
    </row>
    <row r="60" spans="1:2" x14ac:dyDescent="0.35">
      <c r="A60" s="4" t="s">
        <v>3026</v>
      </c>
      <c r="B60" s="5">
        <v>5.8634731187487497E-3</v>
      </c>
    </row>
    <row r="61" spans="1:2" x14ac:dyDescent="0.35">
      <c r="A61" s="4" t="s">
        <v>3018</v>
      </c>
      <c r="B61" s="5">
        <v>4.1827340013753572E-2</v>
      </c>
    </row>
    <row r="64" spans="1:2" x14ac:dyDescent="0.35">
      <c r="A64" s="3" t="s">
        <v>4</v>
      </c>
      <c r="B64" t="s">
        <v>3021</v>
      </c>
    </row>
    <row r="65" spans="1:2" x14ac:dyDescent="0.35">
      <c r="A65" s="3" t="s">
        <v>2</v>
      </c>
      <c r="B65" t="s">
        <v>3021</v>
      </c>
    </row>
    <row r="67" spans="1:2" x14ac:dyDescent="0.35">
      <c r="A67" s="3" t="s">
        <v>3017</v>
      </c>
      <c r="B67" t="s">
        <v>3019</v>
      </c>
    </row>
    <row r="68" spans="1:2" x14ac:dyDescent="0.35">
      <c r="A68" s="4" t="s">
        <v>2915</v>
      </c>
      <c r="B68" s="5">
        <v>0.15082857142857142</v>
      </c>
    </row>
    <row r="69" spans="1:2" x14ac:dyDescent="0.35">
      <c r="A69" s="4" t="s">
        <v>2157</v>
      </c>
      <c r="B69" s="5">
        <v>0.15011904761904762</v>
      </c>
    </row>
    <row r="70" spans="1:2" x14ac:dyDescent="0.35">
      <c r="A70" s="4" t="s">
        <v>2504</v>
      </c>
      <c r="B70" s="5">
        <v>6.4934426229508194E-2</v>
      </c>
    </row>
    <row r="71" spans="1:2" x14ac:dyDescent="0.35">
      <c r="A71" s="4" t="s">
        <v>383</v>
      </c>
      <c r="B71" s="5">
        <v>4.9586776859504134E-2</v>
      </c>
    </row>
    <row r="72" spans="1:2" x14ac:dyDescent="0.35">
      <c r="A72" s="4" t="s">
        <v>2808</v>
      </c>
      <c r="B72" s="5">
        <v>3.7197183098591546E-2</v>
      </c>
    </row>
    <row r="73" spans="1:2" x14ac:dyDescent="0.35">
      <c r="A73" s="4" t="s">
        <v>301</v>
      </c>
      <c r="B73" s="5">
        <v>3.7151702786377715E-2</v>
      </c>
    </row>
    <row r="74" spans="1:2" x14ac:dyDescent="0.35">
      <c r="A74" s="4" t="s">
        <v>179</v>
      </c>
      <c r="B74" s="5">
        <v>2.8963414634146346E-2</v>
      </c>
    </row>
    <row r="75" spans="1:2" x14ac:dyDescent="0.35">
      <c r="A75" s="4" t="s">
        <v>2057</v>
      </c>
      <c r="B75" s="5">
        <v>2.0365217391304348E-2</v>
      </c>
    </row>
    <row r="76" spans="1:2" x14ac:dyDescent="0.35">
      <c r="A76" s="4" t="s">
        <v>1210</v>
      </c>
      <c r="B76" s="5">
        <v>4.3727506426735219E-3</v>
      </c>
    </row>
    <row r="77" spans="1:2" x14ac:dyDescent="0.35">
      <c r="A77" s="4" t="s">
        <v>878</v>
      </c>
      <c r="B77" s="5">
        <v>3.3352165725047079E-3</v>
      </c>
    </row>
    <row r="78" spans="1:2" x14ac:dyDescent="0.35">
      <c r="A78" s="4" t="s">
        <v>3018</v>
      </c>
      <c r="B78" s="5">
        <v>5.468543072622295E-2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8B33-DFC1-4EFB-957B-80E5BDE5A7C5}">
  <dimension ref="A1:AG40"/>
  <sheetViews>
    <sheetView tabSelected="1" topLeftCell="A2" zoomScale="67" zoomScaleNormal="60" workbookViewId="0">
      <selection activeCell="Y17" sqref="Y17"/>
    </sheetView>
  </sheetViews>
  <sheetFormatPr defaultRowHeight="14.5" x14ac:dyDescent="0.35"/>
  <cols>
    <col min="22" max="22" width="3.26953125" bestFit="1" customWidth="1"/>
    <col min="23" max="23" width="21.81640625" bestFit="1" customWidth="1"/>
    <col min="24" max="24" width="16.36328125" bestFit="1" customWidth="1"/>
    <col min="25" max="25" width="18.08984375" bestFit="1" customWidth="1"/>
    <col min="33" max="33" width="15.7265625" bestFit="1" customWidth="1"/>
  </cols>
  <sheetData>
    <row r="1" spans="1:33" x14ac:dyDescent="0.35">
      <c r="A1" s="28" t="s">
        <v>3031</v>
      </c>
      <c r="B1" s="28"/>
      <c r="C1" s="28"/>
      <c r="D1" s="28"/>
      <c r="E1" s="28"/>
      <c r="F1" s="28"/>
      <c r="G1" s="28"/>
      <c r="H1" s="28"/>
      <c r="I1" s="28"/>
      <c r="J1" s="28"/>
      <c r="K1" s="28"/>
      <c r="L1" s="28"/>
      <c r="M1" s="28"/>
      <c r="N1" s="28"/>
      <c r="O1" s="28"/>
      <c r="P1" s="28"/>
      <c r="Q1" s="28"/>
      <c r="R1" s="28"/>
      <c r="S1" s="28"/>
      <c r="T1" s="28"/>
      <c r="U1" s="28"/>
      <c r="V1" s="28"/>
      <c r="W1" s="28"/>
      <c r="X1" s="28"/>
      <c r="Y1" s="28"/>
      <c r="Z1" s="28"/>
    </row>
    <row r="2" spans="1:33" ht="14.5" customHeight="1" x14ac:dyDescent="0.35">
      <c r="A2" s="28"/>
      <c r="B2" s="28"/>
      <c r="C2" s="28"/>
      <c r="D2" s="28"/>
      <c r="E2" s="28"/>
      <c r="F2" s="28"/>
      <c r="G2" s="28"/>
      <c r="H2" s="28"/>
      <c r="I2" s="28"/>
      <c r="J2" s="28"/>
      <c r="K2" s="28"/>
      <c r="L2" s="28"/>
      <c r="M2" s="28"/>
      <c r="N2" s="28"/>
      <c r="O2" s="28"/>
      <c r="P2" s="28"/>
      <c r="Q2" s="28"/>
      <c r="R2" s="28"/>
      <c r="S2" s="28"/>
      <c r="T2" s="28"/>
      <c r="U2" s="28"/>
      <c r="V2" s="28"/>
      <c r="W2" s="28"/>
      <c r="X2" s="28"/>
      <c r="Y2" s="28"/>
      <c r="Z2" s="28"/>
    </row>
    <row r="3" spans="1:33" x14ac:dyDescent="0.35">
      <c r="A3" s="28"/>
      <c r="B3" s="28"/>
      <c r="C3" s="28"/>
      <c r="D3" s="28"/>
      <c r="E3" s="28"/>
      <c r="F3" s="28"/>
      <c r="G3" s="28"/>
      <c r="H3" s="28"/>
      <c r="I3" s="28"/>
      <c r="J3" s="28"/>
      <c r="K3" s="28"/>
      <c r="L3" s="28"/>
      <c r="M3" s="28"/>
      <c r="N3" s="28"/>
      <c r="O3" s="28"/>
      <c r="P3" s="28"/>
      <c r="Q3" s="28"/>
      <c r="R3" s="28"/>
      <c r="S3" s="28"/>
      <c r="T3" s="28"/>
      <c r="U3" s="28"/>
      <c r="V3" s="28"/>
      <c r="W3" s="28"/>
      <c r="X3" s="28"/>
      <c r="Y3" s="28"/>
      <c r="Z3" s="28"/>
    </row>
    <row r="4" spans="1:33" x14ac:dyDescent="0.35">
      <c r="A4" s="28"/>
      <c r="B4" s="28"/>
      <c r="C4" s="28"/>
      <c r="D4" s="28"/>
      <c r="E4" s="28"/>
      <c r="F4" s="28"/>
      <c r="G4" s="28"/>
      <c r="H4" s="28"/>
      <c r="I4" s="28"/>
      <c r="J4" s="28"/>
      <c r="K4" s="28"/>
      <c r="L4" s="28"/>
      <c r="M4" s="28"/>
      <c r="N4" s="28"/>
      <c r="O4" s="28"/>
      <c r="P4" s="28"/>
      <c r="Q4" s="28"/>
      <c r="R4" s="28"/>
      <c r="S4" s="28"/>
      <c r="T4" s="28"/>
      <c r="U4" s="28"/>
      <c r="V4" s="28"/>
      <c r="W4" s="28"/>
      <c r="X4" s="28"/>
      <c r="Y4" s="28"/>
      <c r="Z4" s="28"/>
    </row>
    <row r="5" spans="1:33" x14ac:dyDescent="0.35">
      <c r="A5" s="28"/>
      <c r="B5" s="28"/>
      <c r="C5" s="28"/>
      <c r="D5" s="28"/>
      <c r="E5" s="28"/>
      <c r="F5" s="28"/>
      <c r="G5" s="28"/>
      <c r="H5" s="28"/>
      <c r="I5" s="28"/>
      <c r="J5" s="28"/>
      <c r="K5" s="28"/>
      <c r="L5" s="28"/>
      <c r="M5" s="28"/>
      <c r="N5" s="28"/>
      <c r="O5" s="28"/>
      <c r="P5" s="28"/>
      <c r="Q5" s="28"/>
      <c r="R5" s="28"/>
      <c r="S5" s="28"/>
      <c r="T5" s="28"/>
      <c r="U5" s="28"/>
      <c r="V5" s="28"/>
      <c r="W5" s="28"/>
      <c r="X5" s="28"/>
      <c r="Y5" s="28"/>
      <c r="Z5" s="28"/>
    </row>
    <row r="6" spans="1:33" ht="21" customHeight="1" x14ac:dyDescent="0.35">
      <c r="A6" s="28"/>
      <c r="B6" s="28"/>
      <c r="C6" s="28"/>
      <c r="D6" s="28"/>
      <c r="E6" s="28"/>
      <c r="F6" s="28"/>
      <c r="G6" s="28"/>
      <c r="H6" s="28"/>
      <c r="I6" s="28"/>
      <c r="J6" s="28"/>
      <c r="K6" s="28"/>
      <c r="L6" s="28"/>
      <c r="M6" s="28"/>
      <c r="N6" s="28"/>
      <c r="O6" s="28"/>
      <c r="P6" s="28"/>
      <c r="Q6" s="28"/>
      <c r="R6" s="28"/>
      <c r="S6" s="28"/>
      <c r="T6" s="28"/>
      <c r="U6" s="28"/>
      <c r="V6" s="28"/>
      <c r="W6" s="28"/>
      <c r="X6" s="28"/>
      <c r="Y6" s="28"/>
      <c r="Z6" s="28"/>
    </row>
    <row r="7" spans="1:33" ht="14.5" customHeight="1" thickBot="1" x14ac:dyDescent="0.4">
      <c r="A7" s="28"/>
      <c r="B7" s="28"/>
      <c r="C7" s="28"/>
      <c r="D7" s="28"/>
      <c r="E7" s="28"/>
      <c r="F7" s="28"/>
      <c r="G7" s="28"/>
      <c r="H7" s="28"/>
      <c r="I7" s="28"/>
      <c r="J7" s="28"/>
      <c r="K7" s="28"/>
      <c r="L7" s="28"/>
      <c r="M7" s="28"/>
      <c r="N7" s="28"/>
      <c r="O7" s="28"/>
      <c r="P7" s="28"/>
      <c r="Q7" s="28"/>
      <c r="R7" s="28"/>
      <c r="S7" s="28"/>
      <c r="T7" s="28"/>
      <c r="U7" s="28"/>
      <c r="V7" s="28"/>
      <c r="W7" s="28"/>
      <c r="X7" s="28"/>
      <c r="Y7" s="28"/>
      <c r="Z7" s="28"/>
    </row>
    <row r="8" spans="1:33" ht="14.5" customHeight="1" x14ac:dyDescent="0.35">
      <c r="A8" s="7"/>
      <c r="B8" s="7"/>
      <c r="C8" s="7"/>
      <c r="D8" s="7"/>
      <c r="E8" s="7"/>
      <c r="F8" s="7"/>
      <c r="G8" s="7"/>
      <c r="H8" s="7"/>
      <c r="I8" s="7"/>
      <c r="J8" s="7"/>
      <c r="K8" s="7"/>
      <c r="L8" s="7"/>
      <c r="M8" s="7"/>
      <c r="N8" s="7"/>
      <c r="O8" s="7"/>
      <c r="P8" s="7"/>
      <c r="Q8" s="7"/>
      <c r="R8" s="7"/>
      <c r="S8" s="7"/>
      <c r="T8" s="7"/>
      <c r="U8" s="9"/>
      <c r="V8" s="16" t="s">
        <v>3029</v>
      </c>
      <c r="W8" s="20"/>
      <c r="X8" s="20"/>
      <c r="Y8" s="21"/>
      <c r="Z8" s="8"/>
    </row>
    <row r="9" spans="1:33" ht="15" customHeight="1" thickBot="1" x14ac:dyDescent="0.4">
      <c r="A9" s="7"/>
      <c r="B9" s="7"/>
      <c r="C9" s="7"/>
      <c r="D9" s="7"/>
      <c r="E9" s="7"/>
      <c r="F9" s="7"/>
      <c r="G9" s="7"/>
      <c r="H9" s="7"/>
      <c r="I9" s="7"/>
      <c r="J9" s="7"/>
      <c r="K9" s="7"/>
      <c r="L9" s="7"/>
      <c r="M9" s="7"/>
      <c r="N9" s="7"/>
      <c r="O9" s="7"/>
      <c r="P9" s="7"/>
      <c r="Q9" s="7"/>
      <c r="R9" s="7"/>
      <c r="S9" s="7"/>
      <c r="T9" s="7"/>
      <c r="U9" s="9"/>
      <c r="V9" s="22"/>
      <c r="W9" s="23"/>
      <c r="X9" s="23"/>
      <c r="Y9" s="24"/>
      <c r="Z9" s="8"/>
    </row>
    <row r="10" spans="1:33" ht="14.5" customHeight="1" x14ac:dyDescent="0.35">
      <c r="A10" s="7"/>
      <c r="B10" s="7"/>
      <c r="C10" s="7"/>
      <c r="D10" s="7"/>
      <c r="E10" s="7"/>
      <c r="F10" s="7"/>
      <c r="G10" s="7"/>
      <c r="H10" s="7"/>
      <c r="I10" s="7"/>
      <c r="J10" s="7"/>
      <c r="K10" s="7"/>
      <c r="L10" s="7"/>
      <c r="M10" s="7"/>
      <c r="N10" s="7"/>
      <c r="O10" s="7"/>
      <c r="P10" s="7"/>
      <c r="Q10" s="7"/>
      <c r="R10" s="7"/>
      <c r="S10" s="7"/>
      <c r="T10" s="7"/>
      <c r="U10" s="9"/>
      <c r="V10" s="29" t="s">
        <v>3027</v>
      </c>
      <c r="W10" s="30" t="s">
        <v>0</v>
      </c>
      <c r="X10" s="31" t="s">
        <v>3028</v>
      </c>
      <c r="Y10" s="32" t="s">
        <v>3030</v>
      </c>
      <c r="Z10" s="8"/>
      <c r="AF10" s="4"/>
      <c r="AG10" s="5"/>
    </row>
    <row r="11" spans="1:33" ht="14.5" customHeight="1" thickBot="1" x14ac:dyDescent="0.4">
      <c r="A11" s="7"/>
      <c r="B11" s="7"/>
      <c r="C11" s="7"/>
      <c r="D11" s="7"/>
      <c r="E11" s="7"/>
      <c r="F11" s="7"/>
      <c r="G11" s="7"/>
      <c r="H11" s="7"/>
      <c r="I11" s="7"/>
      <c r="J11" s="7"/>
      <c r="K11" s="7"/>
      <c r="L11" s="7"/>
      <c r="M11" s="7"/>
      <c r="N11" s="7"/>
      <c r="O11" s="7"/>
      <c r="P11" s="7"/>
      <c r="Q11" s="7"/>
      <c r="R11" s="7"/>
      <c r="S11" s="7"/>
      <c r="T11" s="7"/>
      <c r="U11" s="9"/>
      <c r="V11" s="33"/>
      <c r="W11" s="34"/>
      <c r="X11" s="35"/>
      <c r="Y11" s="36"/>
      <c r="Z11" s="8"/>
      <c r="AF11" s="4"/>
      <c r="AG11" s="5"/>
    </row>
    <row r="12" spans="1:33" ht="14.5" customHeight="1" x14ac:dyDescent="0.35">
      <c r="A12" s="7"/>
      <c r="B12" s="7"/>
      <c r="C12" s="7"/>
      <c r="D12" s="7"/>
      <c r="E12" s="7"/>
      <c r="F12" s="7"/>
      <c r="G12" s="7"/>
      <c r="H12" s="7"/>
      <c r="I12" s="7"/>
      <c r="J12" s="7"/>
      <c r="K12" s="7"/>
      <c r="L12" s="7"/>
      <c r="M12" s="7"/>
      <c r="N12" s="7"/>
      <c r="O12" s="7"/>
      <c r="P12" s="7"/>
      <c r="Q12" s="7"/>
      <c r="R12" s="7"/>
      <c r="S12" s="7"/>
      <c r="T12" s="7"/>
      <c r="U12" s="9"/>
      <c r="V12" s="17">
        <v>1</v>
      </c>
      <c r="W12" s="25" t="s">
        <v>2915</v>
      </c>
      <c r="X12" s="18">
        <f>_xlfn.XLOOKUP(W12,Analyze!$A$67:$A$78,Analyze!$B$67:$B$78,"Not Found",0)</f>
        <v>0.15082857142857142</v>
      </c>
      <c r="Y12" s="19" t="s">
        <v>3023</v>
      </c>
      <c r="Z12" s="8"/>
      <c r="AF12" s="4"/>
      <c r="AG12" s="5"/>
    </row>
    <row r="13" spans="1:33" ht="14.5" customHeight="1" x14ac:dyDescent="0.35">
      <c r="A13" s="7"/>
      <c r="B13" s="7"/>
      <c r="C13" s="7"/>
      <c r="D13" s="7"/>
      <c r="E13" s="7"/>
      <c r="F13" s="7"/>
      <c r="G13" s="7"/>
      <c r="H13" s="7"/>
      <c r="I13" s="7"/>
      <c r="J13" s="7"/>
      <c r="K13" s="7"/>
      <c r="L13" s="7"/>
      <c r="M13" s="7"/>
      <c r="N13" s="7"/>
      <c r="O13" s="7"/>
      <c r="P13" s="7"/>
      <c r="Q13" s="7"/>
      <c r="R13" s="7"/>
      <c r="S13" s="7"/>
      <c r="T13" s="7"/>
      <c r="U13" s="9"/>
      <c r="V13" s="10"/>
      <c r="W13" s="26"/>
      <c r="X13" s="11"/>
      <c r="Y13" s="12"/>
      <c r="Z13" s="8"/>
      <c r="AA13" s="4"/>
      <c r="AF13" s="4"/>
      <c r="AG13" s="5"/>
    </row>
    <row r="14" spans="1:33" ht="14.5" customHeight="1" x14ac:dyDescent="0.35">
      <c r="A14" s="7"/>
      <c r="B14" s="7"/>
      <c r="C14" s="7"/>
      <c r="D14" s="7"/>
      <c r="E14" s="7"/>
      <c r="F14" s="7"/>
      <c r="G14" s="7"/>
      <c r="H14" s="7"/>
      <c r="I14" s="7"/>
      <c r="J14" s="7"/>
      <c r="K14" s="7"/>
      <c r="L14" s="7"/>
      <c r="M14" s="7"/>
      <c r="N14" s="7"/>
      <c r="O14" s="7"/>
      <c r="P14" s="7"/>
      <c r="Q14" s="7"/>
      <c r="R14" s="7"/>
      <c r="S14" s="7"/>
      <c r="T14" s="7"/>
      <c r="U14" s="9"/>
      <c r="V14" s="10">
        <v>2</v>
      </c>
      <c r="W14" s="26" t="s">
        <v>2157</v>
      </c>
      <c r="X14" s="11">
        <f>_xlfn.XLOOKUP(W14,Analyze!$A$67:$A$78,Analyze!$B$67:$B$78,"Not Found",0)</f>
        <v>0.15011904761904762</v>
      </c>
      <c r="Y14" s="12" t="s">
        <v>3023</v>
      </c>
      <c r="Z14" s="8"/>
      <c r="AA14" s="4"/>
      <c r="AF14" s="4"/>
      <c r="AG14" s="5"/>
    </row>
    <row r="15" spans="1:33" ht="14.5" customHeight="1" x14ac:dyDescent="0.35">
      <c r="A15" s="7"/>
      <c r="B15" s="7"/>
      <c r="C15" s="7"/>
      <c r="D15" s="7"/>
      <c r="E15" s="7"/>
      <c r="F15" s="7"/>
      <c r="G15" s="7"/>
      <c r="H15" s="7"/>
      <c r="I15" s="7"/>
      <c r="J15" s="7"/>
      <c r="K15" s="7"/>
      <c r="L15" s="7"/>
      <c r="M15" s="7"/>
      <c r="N15" s="7"/>
      <c r="O15" s="7"/>
      <c r="P15" s="7"/>
      <c r="Q15" s="7"/>
      <c r="R15" s="7"/>
      <c r="S15" s="7"/>
      <c r="T15" s="7"/>
      <c r="U15" s="9"/>
      <c r="V15" s="10"/>
      <c r="W15" s="26"/>
      <c r="X15" s="11"/>
      <c r="Y15" s="12"/>
      <c r="Z15" s="8"/>
      <c r="AA15" s="4"/>
      <c r="AF15" s="4"/>
      <c r="AG15" s="5"/>
    </row>
    <row r="16" spans="1:33" ht="14.5" customHeight="1" x14ac:dyDescent="0.35">
      <c r="A16" s="7"/>
      <c r="B16" s="7"/>
      <c r="C16" s="7"/>
      <c r="D16" s="7"/>
      <c r="E16" s="7"/>
      <c r="F16" s="7"/>
      <c r="G16" s="7"/>
      <c r="H16" s="7"/>
      <c r="I16" s="7"/>
      <c r="J16" s="7"/>
      <c r="K16" s="7"/>
      <c r="L16" s="7"/>
      <c r="M16" s="7"/>
      <c r="N16" s="7"/>
      <c r="O16" s="7"/>
      <c r="P16" s="7"/>
      <c r="Q16" s="7"/>
      <c r="R16" s="7"/>
      <c r="S16" s="7"/>
      <c r="T16" s="7"/>
      <c r="U16" s="9"/>
      <c r="V16" s="10">
        <v>3</v>
      </c>
      <c r="W16" s="26" t="s">
        <v>2504</v>
      </c>
      <c r="X16" s="11">
        <f>_xlfn.XLOOKUP(W16,Analyze!$A$67:$A$78,Analyze!$B$67:$B$78,"Not Found",0)</f>
        <v>6.4934426229508194E-2</v>
      </c>
      <c r="Y16" s="12" t="s">
        <v>3023</v>
      </c>
      <c r="Z16" s="8"/>
      <c r="AA16" s="4"/>
      <c r="AF16" s="4"/>
      <c r="AG16" s="5"/>
    </row>
    <row r="17" spans="1:33" ht="14.5" customHeight="1" x14ac:dyDescent="0.35">
      <c r="A17" s="7"/>
      <c r="B17" s="7"/>
      <c r="C17" s="7"/>
      <c r="D17" s="7"/>
      <c r="E17" s="7"/>
      <c r="F17" s="7"/>
      <c r="G17" s="7"/>
      <c r="H17" s="7"/>
      <c r="I17" s="7"/>
      <c r="J17" s="7"/>
      <c r="K17" s="7"/>
      <c r="L17" s="7"/>
      <c r="M17" s="7"/>
      <c r="N17" s="7"/>
      <c r="O17" s="7"/>
      <c r="P17" s="7"/>
      <c r="Q17" s="7"/>
      <c r="R17" s="7"/>
      <c r="S17" s="7"/>
      <c r="T17" s="7"/>
      <c r="U17" s="9"/>
      <c r="V17" s="10"/>
      <c r="W17" s="26"/>
      <c r="X17" s="11"/>
      <c r="Y17" s="12"/>
      <c r="Z17" s="8"/>
      <c r="AA17" s="4"/>
      <c r="AF17" s="4"/>
      <c r="AG17" s="5"/>
    </row>
    <row r="18" spans="1:33" ht="14.5" customHeight="1" x14ac:dyDescent="0.35">
      <c r="A18" s="7"/>
      <c r="B18" s="7"/>
      <c r="C18" s="7"/>
      <c r="D18" s="7"/>
      <c r="E18" s="7"/>
      <c r="F18" s="7"/>
      <c r="G18" s="7"/>
      <c r="H18" s="7"/>
      <c r="I18" s="7"/>
      <c r="J18" s="7"/>
      <c r="K18" s="7"/>
      <c r="L18" s="7"/>
      <c r="M18" s="7"/>
      <c r="N18" s="7"/>
      <c r="O18" s="7"/>
      <c r="P18" s="7"/>
      <c r="Q18" s="7"/>
      <c r="R18" s="7"/>
      <c r="S18" s="7"/>
      <c r="T18" s="7"/>
      <c r="U18" s="9"/>
      <c r="V18" s="10">
        <v>4</v>
      </c>
      <c r="W18" s="26" t="s">
        <v>383</v>
      </c>
      <c r="X18" s="11">
        <f>_xlfn.XLOOKUP(W18,Analyze!$A$67:$A$78,Analyze!$B$67:$B$78,"Not Found",0)</f>
        <v>4.9586776859504134E-2</v>
      </c>
      <c r="Y18" s="12" t="s">
        <v>3024</v>
      </c>
      <c r="Z18" s="8"/>
      <c r="AA18" s="4"/>
      <c r="AF18" s="4"/>
      <c r="AG18" s="5"/>
    </row>
    <row r="19" spans="1:33" ht="14.5" customHeight="1" x14ac:dyDescent="0.35">
      <c r="A19" s="7"/>
      <c r="B19" s="7"/>
      <c r="C19" s="7"/>
      <c r="D19" s="7"/>
      <c r="E19" s="7"/>
      <c r="F19" s="7"/>
      <c r="G19" s="7"/>
      <c r="H19" s="7"/>
      <c r="I19" s="7"/>
      <c r="J19" s="7"/>
      <c r="K19" s="7"/>
      <c r="L19" s="7"/>
      <c r="M19" s="7"/>
      <c r="N19" s="7"/>
      <c r="O19" s="7"/>
      <c r="P19" s="7"/>
      <c r="Q19" s="7"/>
      <c r="R19" s="7"/>
      <c r="S19" s="7"/>
      <c r="T19" s="7"/>
      <c r="U19" s="9"/>
      <c r="V19" s="10"/>
      <c r="W19" s="26"/>
      <c r="X19" s="11"/>
      <c r="Y19" s="12"/>
      <c r="Z19" s="8"/>
      <c r="AA19" s="4"/>
      <c r="AF19" s="4"/>
      <c r="AG19" s="5"/>
    </row>
    <row r="20" spans="1:33" ht="14.5" customHeight="1" x14ac:dyDescent="0.35">
      <c r="A20" s="7"/>
      <c r="B20" s="7"/>
      <c r="C20" s="7"/>
      <c r="D20" s="7"/>
      <c r="E20" s="7"/>
      <c r="F20" s="7"/>
      <c r="G20" s="7"/>
      <c r="H20" s="7"/>
      <c r="I20" s="7"/>
      <c r="J20" s="7"/>
      <c r="K20" s="7"/>
      <c r="L20" s="7"/>
      <c r="M20" s="7"/>
      <c r="N20" s="7"/>
      <c r="O20" s="7"/>
      <c r="P20" s="7"/>
      <c r="Q20" s="7"/>
      <c r="R20" s="7"/>
      <c r="S20" s="7"/>
      <c r="T20" s="7"/>
      <c r="U20" s="9"/>
      <c r="V20" s="10">
        <v>5</v>
      </c>
      <c r="W20" s="26" t="s">
        <v>2808</v>
      </c>
      <c r="X20" s="11">
        <f>_xlfn.XLOOKUP(W20,Analyze!$A$67:$A$78,Analyze!$B$67:$B$78,"Not Found",0)</f>
        <v>3.7197183098591546E-2</v>
      </c>
      <c r="Y20" s="12" t="s">
        <v>3023</v>
      </c>
      <c r="Z20" s="8"/>
      <c r="AA20" s="4"/>
    </row>
    <row r="21" spans="1:33" ht="14.5" customHeight="1" x14ac:dyDescent="0.35">
      <c r="A21" s="7"/>
      <c r="B21" s="7"/>
      <c r="C21" s="7"/>
      <c r="D21" s="7"/>
      <c r="E21" s="7"/>
      <c r="F21" s="7"/>
      <c r="G21" s="7"/>
      <c r="H21" s="7"/>
      <c r="I21" s="7"/>
      <c r="J21" s="7"/>
      <c r="K21" s="7"/>
      <c r="L21" s="7"/>
      <c r="M21" s="7"/>
      <c r="N21" s="7"/>
      <c r="O21" s="7"/>
      <c r="P21" s="7"/>
      <c r="Q21" s="7"/>
      <c r="R21" s="7"/>
      <c r="S21" s="7"/>
      <c r="T21" s="7"/>
      <c r="U21" s="9"/>
      <c r="V21" s="10"/>
      <c r="W21" s="26"/>
      <c r="X21" s="11"/>
      <c r="Y21" s="12"/>
      <c r="Z21" s="8"/>
      <c r="AA21" s="4"/>
    </row>
    <row r="22" spans="1:33" ht="14.5" customHeight="1" x14ac:dyDescent="0.35">
      <c r="A22" s="7"/>
      <c r="B22" s="7"/>
      <c r="C22" s="7"/>
      <c r="D22" s="7"/>
      <c r="E22" s="7"/>
      <c r="F22" s="7"/>
      <c r="G22" s="7"/>
      <c r="H22" s="7"/>
      <c r="I22" s="7"/>
      <c r="J22" s="7"/>
      <c r="K22" s="7"/>
      <c r="L22" s="7"/>
      <c r="M22" s="7"/>
      <c r="N22" s="7"/>
      <c r="O22" s="7"/>
      <c r="P22" s="7"/>
      <c r="Q22" s="7"/>
      <c r="R22" s="7"/>
      <c r="S22" s="7"/>
      <c r="T22" s="7"/>
      <c r="U22" s="9"/>
      <c r="V22" s="10">
        <v>6</v>
      </c>
      <c r="W22" s="26" t="s">
        <v>301</v>
      </c>
      <c r="X22" s="11">
        <f>_xlfn.XLOOKUP(W22,Analyze!$A$67:$A$78,Analyze!$B$67:$B$78,"Not Found",0)</f>
        <v>3.7151702786377715E-2</v>
      </c>
      <c r="Y22" s="12" t="s">
        <v>3024</v>
      </c>
      <c r="Z22" s="8"/>
      <c r="AA22" s="4"/>
    </row>
    <row r="23" spans="1:33" ht="14.5" customHeight="1" x14ac:dyDescent="0.35">
      <c r="A23" s="7"/>
      <c r="B23" s="7"/>
      <c r="C23" s="7"/>
      <c r="D23" s="7"/>
      <c r="E23" s="7"/>
      <c r="F23" s="7"/>
      <c r="G23" s="7"/>
      <c r="H23" s="7"/>
      <c r="I23" s="7"/>
      <c r="J23" s="7"/>
      <c r="K23" s="7"/>
      <c r="L23" s="7"/>
      <c r="M23" s="7"/>
      <c r="N23" s="7"/>
      <c r="O23" s="7"/>
      <c r="P23" s="7"/>
      <c r="Q23" s="7"/>
      <c r="R23" s="7"/>
      <c r="S23" s="7"/>
      <c r="T23" s="7"/>
      <c r="U23" s="9"/>
      <c r="V23" s="10"/>
      <c r="W23" s="26"/>
      <c r="X23" s="11"/>
      <c r="Y23" s="12"/>
      <c r="Z23" s="8"/>
    </row>
    <row r="24" spans="1:33" ht="14.5" customHeight="1" x14ac:dyDescent="0.35">
      <c r="A24" s="7"/>
      <c r="B24" s="7"/>
      <c r="C24" s="7"/>
      <c r="D24" s="7"/>
      <c r="E24" s="7"/>
      <c r="F24" s="7"/>
      <c r="G24" s="7"/>
      <c r="H24" s="7"/>
      <c r="I24" s="7"/>
      <c r="J24" s="7"/>
      <c r="K24" s="7"/>
      <c r="L24" s="7"/>
      <c r="M24" s="7"/>
      <c r="N24" s="7"/>
      <c r="O24" s="7"/>
      <c r="P24" s="7"/>
      <c r="Q24" s="7"/>
      <c r="R24" s="7"/>
      <c r="S24" s="7"/>
      <c r="T24" s="7"/>
      <c r="U24" s="9"/>
      <c r="V24" s="10">
        <v>7</v>
      </c>
      <c r="W24" s="26" t="s">
        <v>179</v>
      </c>
      <c r="X24" s="11">
        <f>_xlfn.XLOOKUP(W24,Analyze!$A$67:$A$78,Analyze!$B$67:$B$78,"Not Found",0)</f>
        <v>2.8963414634146346E-2</v>
      </c>
      <c r="Y24" s="12" t="s">
        <v>3025</v>
      </c>
      <c r="Z24" s="8"/>
    </row>
    <row r="25" spans="1:33" ht="14.5" customHeight="1" x14ac:dyDescent="0.35">
      <c r="A25" s="7"/>
      <c r="B25" s="7"/>
      <c r="C25" s="7"/>
      <c r="D25" s="7"/>
      <c r="E25" s="7"/>
      <c r="F25" s="7"/>
      <c r="G25" s="7"/>
      <c r="H25" s="7"/>
      <c r="I25" s="7"/>
      <c r="J25" s="7"/>
      <c r="K25" s="7"/>
      <c r="L25" s="7"/>
      <c r="M25" s="7"/>
      <c r="N25" s="7"/>
      <c r="O25" s="7"/>
      <c r="P25" s="7"/>
      <c r="Q25" s="7"/>
      <c r="R25" s="7"/>
      <c r="S25" s="7"/>
      <c r="T25" s="7"/>
      <c r="U25" s="9"/>
      <c r="V25" s="10"/>
      <c r="W25" s="26"/>
      <c r="X25" s="11"/>
      <c r="Y25" s="12"/>
      <c r="Z25" s="8"/>
    </row>
    <row r="26" spans="1:33" ht="14.5" customHeight="1" x14ac:dyDescent="0.35">
      <c r="A26" s="7"/>
      <c r="B26" s="7"/>
      <c r="C26" s="7"/>
      <c r="D26" s="7"/>
      <c r="E26" s="7"/>
      <c r="F26" s="7"/>
      <c r="G26" s="7"/>
      <c r="H26" s="7"/>
      <c r="I26" s="7"/>
      <c r="J26" s="7"/>
      <c r="K26" s="7"/>
      <c r="L26" s="7"/>
      <c r="M26" s="7"/>
      <c r="N26" s="7"/>
      <c r="O26" s="7"/>
      <c r="P26" s="7"/>
      <c r="Q26" s="7"/>
      <c r="R26" s="7"/>
      <c r="S26" s="7"/>
      <c r="T26" s="7"/>
      <c r="U26" s="9"/>
      <c r="V26" s="10">
        <v>8</v>
      </c>
      <c r="W26" s="26" t="s">
        <v>2057</v>
      </c>
      <c r="X26" s="11">
        <f>_xlfn.XLOOKUP(W26,Analyze!$A$67:$A$78,Analyze!$B$67:$B$78,"Not Found",0)</f>
        <v>2.0365217391304348E-2</v>
      </c>
      <c r="Y26" s="12" t="s">
        <v>3024</v>
      </c>
      <c r="Z26" s="8"/>
    </row>
    <row r="27" spans="1:33" ht="14.5" customHeight="1" x14ac:dyDescent="0.35">
      <c r="A27" s="7"/>
      <c r="B27" s="7"/>
      <c r="C27" s="7"/>
      <c r="D27" s="7"/>
      <c r="E27" s="7"/>
      <c r="F27" s="7"/>
      <c r="G27" s="7"/>
      <c r="H27" s="7"/>
      <c r="I27" s="7"/>
      <c r="J27" s="7"/>
      <c r="K27" s="7"/>
      <c r="L27" s="7"/>
      <c r="M27" s="7"/>
      <c r="N27" s="7"/>
      <c r="O27" s="7"/>
      <c r="P27" s="7"/>
      <c r="Q27" s="7"/>
      <c r="R27" s="7"/>
      <c r="S27" s="7"/>
      <c r="T27" s="7"/>
      <c r="U27" s="9"/>
      <c r="V27" s="10"/>
      <c r="W27" s="26"/>
      <c r="X27" s="11"/>
      <c r="Y27" s="12"/>
      <c r="Z27" s="8"/>
    </row>
    <row r="28" spans="1:33" ht="14.5" customHeight="1" x14ac:dyDescent="0.35">
      <c r="A28" s="7"/>
      <c r="B28" s="7"/>
      <c r="C28" s="7"/>
      <c r="D28" s="7"/>
      <c r="E28" s="7"/>
      <c r="F28" s="7"/>
      <c r="G28" s="7"/>
      <c r="H28" s="7"/>
      <c r="I28" s="7"/>
      <c r="J28" s="7"/>
      <c r="K28" s="7"/>
      <c r="L28" s="7"/>
      <c r="M28" s="7"/>
      <c r="N28" s="7"/>
      <c r="O28" s="7"/>
      <c r="P28" s="7"/>
      <c r="Q28" s="7"/>
      <c r="R28" s="7"/>
      <c r="S28" s="7"/>
      <c r="T28" s="7"/>
      <c r="U28" s="9"/>
      <c r="V28" s="10">
        <v>9</v>
      </c>
      <c r="W28" s="26" t="s">
        <v>1210</v>
      </c>
      <c r="X28" s="11">
        <f>_xlfn.XLOOKUP(W28,Analyze!$A$67:$A$78,Analyze!$B$67:$B$78,"Not Found",0)</f>
        <v>4.3727506426735219E-3</v>
      </c>
      <c r="Y28" s="12" t="s">
        <v>3024</v>
      </c>
      <c r="Z28" s="8"/>
    </row>
    <row r="29" spans="1:33" ht="14.5" customHeight="1" x14ac:dyDescent="0.35">
      <c r="A29" s="7"/>
      <c r="B29" s="7"/>
      <c r="C29" s="7"/>
      <c r="D29" s="7"/>
      <c r="E29" s="7"/>
      <c r="F29" s="7"/>
      <c r="G29" s="7"/>
      <c r="H29" s="7"/>
      <c r="I29" s="7"/>
      <c r="J29" s="7"/>
      <c r="K29" s="7"/>
      <c r="L29" s="7"/>
      <c r="M29" s="7"/>
      <c r="N29" s="7"/>
      <c r="O29" s="7"/>
      <c r="P29" s="7"/>
      <c r="Q29" s="7"/>
      <c r="R29" s="7"/>
      <c r="S29" s="7"/>
      <c r="T29" s="7"/>
      <c r="U29" s="9"/>
      <c r="V29" s="10"/>
      <c r="W29" s="26"/>
      <c r="X29" s="11"/>
      <c r="Y29" s="12"/>
      <c r="Z29" s="8"/>
    </row>
    <row r="30" spans="1:33" ht="14.5" customHeight="1" x14ac:dyDescent="0.35">
      <c r="A30" s="7"/>
      <c r="B30" s="7"/>
      <c r="C30" s="7"/>
      <c r="D30" s="7"/>
      <c r="E30" s="7"/>
      <c r="F30" s="7"/>
      <c r="G30" s="7"/>
      <c r="H30" s="7"/>
      <c r="I30" s="7"/>
      <c r="J30" s="7"/>
      <c r="K30" s="7"/>
      <c r="L30" s="7"/>
      <c r="M30" s="7"/>
      <c r="N30" s="7"/>
      <c r="O30" s="7"/>
      <c r="P30" s="7"/>
      <c r="Q30" s="7"/>
      <c r="R30" s="7"/>
      <c r="S30" s="7"/>
      <c r="T30" s="7"/>
      <c r="U30" s="9"/>
      <c r="V30" s="10">
        <v>10</v>
      </c>
      <c r="W30" s="26" t="s">
        <v>878</v>
      </c>
      <c r="X30" s="11">
        <f>_xlfn.XLOOKUP(W30,Analyze!$A$67:$A$78,Analyze!$B$67:$B$78,"Not Found",0)</f>
        <v>3.3352165725047079E-3</v>
      </c>
      <c r="Y30" s="12" t="s">
        <v>3025</v>
      </c>
      <c r="Z30" s="8"/>
    </row>
    <row r="31" spans="1:33" ht="14.5" customHeight="1" thickBot="1" x14ac:dyDescent="0.4">
      <c r="A31" s="7"/>
      <c r="B31" s="7"/>
      <c r="C31" s="7"/>
      <c r="D31" s="7"/>
      <c r="E31" s="7"/>
      <c r="F31" s="7"/>
      <c r="G31" s="7"/>
      <c r="H31" s="7"/>
      <c r="I31" s="7"/>
      <c r="J31" s="7"/>
      <c r="K31" s="7"/>
      <c r="L31" s="7"/>
      <c r="M31" s="7"/>
      <c r="N31" s="7"/>
      <c r="O31" s="7"/>
      <c r="P31" s="7"/>
      <c r="Q31" s="7"/>
      <c r="R31" s="7"/>
      <c r="S31" s="7"/>
      <c r="T31" s="7"/>
      <c r="U31" s="9"/>
      <c r="V31" s="13"/>
      <c r="W31" s="27"/>
      <c r="X31" s="14"/>
      <c r="Y31" s="15"/>
      <c r="Z31" s="8"/>
    </row>
    <row r="32" spans="1:33" x14ac:dyDescent="0.35">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x14ac:dyDescent="0.35">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x14ac:dyDescent="0.35">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x14ac:dyDescent="0.35">
      <c r="A35" s="7"/>
      <c r="B35" s="7"/>
      <c r="C35" s="7"/>
      <c r="D35" s="7"/>
      <c r="E35" s="7"/>
      <c r="F35" s="7"/>
      <c r="G35" s="7"/>
      <c r="H35" s="7"/>
      <c r="I35" s="7"/>
      <c r="J35" s="7"/>
      <c r="K35" s="7"/>
      <c r="L35" s="7"/>
      <c r="M35" s="7"/>
      <c r="N35" s="7"/>
      <c r="O35" s="7"/>
      <c r="P35" s="7"/>
      <c r="Q35" s="7"/>
      <c r="R35" s="7"/>
      <c r="S35" s="7"/>
      <c r="T35" s="7"/>
      <c r="U35" s="7"/>
      <c r="V35" s="7"/>
      <c r="W35" s="7"/>
      <c r="X35" s="7"/>
      <c r="Y35" s="7"/>
      <c r="Z35" s="7"/>
    </row>
    <row r="40" spans="1:26" x14ac:dyDescent="0.35">
      <c r="T40">
        <v>1</v>
      </c>
    </row>
  </sheetData>
  <mergeCells count="4">
    <mergeCell ref="A32:Z35"/>
    <mergeCell ref="A1:Z7"/>
    <mergeCell ref="Z8:Z31"/>
    <mergeCell ref="A8:U31"/>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Analyze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ARV</dc:creator>
  <cp:lastModifiedBy>Azzrial Arfiansyah</cp:lastModifiedBy>
  <dcterms:created xsi:type="dcterms:W3CDTF">2025-07-26T18:40:14Z</dcterms:created>
  <dcterms:modified xsi:type="dcterms:W3CDTF">2025-07-28T11:41:12Z</dcterms:modified>
</cp:coreProperties>
</file>